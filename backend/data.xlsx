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prifti/prifticloud/HOBBIES/aqurophilie/Reefing/water/tests/"/>
    </mc:Choice>
  </mc:AlternateContent>
  <xr:revisionPtr revIDLastSave="0" documentId="13_ncr:1_{9D7BC2A4-5890-6349-B056-3FF0DF7523F2}" xr6:coauthVersionLast="47" xr6:coauthVersionMax="47" xr10:uidLastSave="{00000000-0000-0000-0000-000000000000}"/>
  <bookViews>
    <workbookView xWindow="4780" yWindow="3220" windowWidth="32640" windowHeight="21260" xr2:uid="{A923B6C4-7CCC-FB4C-BD6C-931D05AA2C9D}"/>
  </bookViews>
  <sheets>
    <sheet name="Status Monitor 2025" sheetId="3" r:id="rId1"/>
    <sheet name="Instruction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3" l="1"/>
  <c r="L49" i="3"/>
  <c r="N49" i="3" s="1"/>
  <c r="I48" i="3"/>
  <c r="L48" i="3"/>
  <c r="N48" i="3" s="1"/>
  <c r="L47" i="3"/>
  <c r="N47" i="3" s="1"/>
  <c r="I47" i="3"/>
  <c r="I46" i="3"/>
  <c r="L46" i="3"/>
  <c r="N46" i="3"/>
  <c r="I45" i="3"/>
  <c r="L45" i="3"/>
  <c r="N45" i="3" s="1"/>
  <c r="I44" i="3"/>
  <c r="N44" i="3"/>
  <c r="L44" i="3"/>
  <c r="N43" i="3"/>
  <c r="L43" i="3"/>
  <c r="N42" i="3"/>
  <c r="L42" i="3"/>
  <c r="N41" i="3"/>
  <c r="L41" i="3"/>
  <c r="I40" i="3"/>
  <c r="N40" i="3"/>
  <c r="L40" i="3"/>
  <c r="L38" i="3"/>
  <c r="L39" i="3"/>
  <c r="N39" i="3"/>
  <c r="N38" i="3" l="1"/>
  <c r="I37" i="3"/>
  <c r="N37" i="3"/>
  <c r="N36" i="3"/>
  <c r="N35" i="3"/>
  <c r="I35" i="3"/>
  <c r="N33" i="3" l="1"/>
  <c r="I33" i="3"/>
  <c r="I11" i="3"/>
  <c r="I18" i="3"/>
  <c r="I21" i="3"/>
  <c r="I26" i="3"/>
  <c r="I28" i="3"/>
  <c r="I30" i="3"/>
  <c r="I32" i="3"/>
  <c r="I9" i="3"/>
  <c r="N32" i="3"/>
  <c r="N26" i="3"/>
  <c r="N28" i="3"/>
  <c r="N30" i="3"/>
  <c r="N23" i="3"/>
</calcChain>
</file>

<file path=xl/sharedStrings.xml><?xml version="1.0" encoding="utf-8"?>
<sst xmlns="http://schemas.openxmlformats.org/spreadsheetml/2006/main" count="924" uniqueCount="63">
  <si>
    <t>Temp</t>
  </si>
  <si>
    <t>Dens</t>
  </si>
  <si>
    <t>pH</t>
  </si>
  <si>
    <t>KH</t>
  </si>
  <si>
    <t>Cal</t>
  </si>
  <si>
    <t>Mag</t>
  </si>
  <si>
    <t>Amo</t>
  </si>
  <si>
    <t>Nitri</t>
  </si>
  <si>
    <t>Nitra</t>
  </si>
  <si>
    <t>Phosf</t>
  </si>
  <si>
    <t>Date</t>
  </si>
  <si>
    <t>Comments</t>
  </si>
  <si>
    <t>-</t>
  </si>
  <si>
    <t>Time</t>
  </si>
  <si>
    <t>Phos</t>
  </si>
  <si>
    <t>The spread works similarly to the Reefstatus.com, so all numbers are in those ranges - see chart on right. On the spreadsheet, when you need more lines, simply cut and paste the empty cells with the dash (-) in them as they contain the formulas - cut and paste the whole row as they are in different ranges.</t>
  </si>
  <si>
    <t>Chemistry and the Aquarium: What is Alkalinity?</t>
  </si>
  <si>
    <t>http://www.advancedaquarist.com/2002/2/chemistry</t>
  </si>
  <si>
    <t>Chemistry and the Aquarium: Specific Gravity: Oh How Complicated!</t>
  </si>
  <si>
    <t>http://www.advancedaquarist.com/2002/1/chemistry/view</t>
  </si>
  <si>
    <t>Chemistry and the Aquarium: Calcium</t>
  </si>
  <si>
    <t>http://www.advancedaquarist.com/2002/3/chemistry/view</t>
  </si>
  <si>
    <t xml:space="preserve">Ammonia and the Reef Aquarium 
</t>
  </si>
  <si>
    <t>http://reefkeeping.com/issues/2007-02/rhf/index.php</t>
  </si>
  <si>
    <t>http://www.advancedaquarist.com/issues/feb2004/chem.htm</t>
  </si>
  <si>
    <t>Chemistry and the Aquarium: pH</t>
  </si>
  <si>
    <t>http://www.advancedaquarist.com/issues/august2003/chem.htm</t>
  </si>
  <si>
    <t>Chemistry and the Aquarium: Nitrate</t>
  </si>
  <si>
    <t>s</t>
  </si>
  <si>
    <t>Information sites</t>
  </si>
  <si>
    <t>Silicates</t>
  </si>
  <si>
    <t>Toujours bloom</t>
  </si>
  <si>
    <t>en cours de remontage après 11g de KH et 60g de calcium</t>
  </si>
  <si>
    <t>J'ai rajouté après 11g de KH + 10ml de phosphates + 20ml de dinoX</t>
  </si>
  <si>
    <t>en cours de remontage après 11g de KH, j'ai rajouté aussi 10ml de phosphates</t>
  </si>
  <si>
    <t>Phase</t>
  </si>
  <si>
    <t>demarrage</t>
  </si>
  <si>
    <t>dinoflagile</t>
  </si>
  <si>
    <t>Après avoir ajouté 11g le matin</t>
  </si>
  <si>
    <t>siphonage arret dino X, charbon actif</t>
  </si>
  <si>
    <t>siphonage 2 fois</t>
  </si>
  <si>
    <t>siphonage + rajout eau salé, + microscope</t>
  </si>
  <si>
    <t>siphonage 11g KH</t>
  </si>
  <si>
    <t>retour de vacances, siphonage, remise skimer +. Filtre + 11g de KH</t>
  </si>
  <si>
    <t>125g of Magnesium Aquaforrest in one l of RO water</t>
  </si>
  <si>
    <t>baisse de l'intensité lumineuse de 50%</t>
  </si>
  <si>
    <t>Rajout de KH et culture bacterie</t>
  </si>
  <si>
    <t>Je viens de rajouter 16g de KH</t>
  </si>
  <si>
    <t>changement membranes et eau osmosé + rajout raisine (0ppm)</t>
  </si>
  <si>
    <t>Dinoflagile bloom</t>
  </si>
  <si>
    <t>added 1°K (100ml of homebrown solution) and programmed 33ml/day dose, 0.35° usage by  day</t>
  </si>
  <si>
    <t>installation UV</t>
  </si>
  <si>
    <t>NO3/PO4</t>
  </si>
  <si>
    <t>2 days after UV</t>
  </si>
  <si>
    <t>MG/Cal</t>
  </si>
  <si>
    <t>9 days after UV</t>
  </si>
  <si>
    <t>added 5l of salted water to increase the salinity</t>
  </si>
  <si>
    <t>after testing added 4ml of AF PO4 boost</t>
  </si>
  <si>
    <t>nitrates baisse</t>
  </si>
  <si>
    <t>changement eau 20l après test</t>
  </si>
  <si>
    <t>rajouté 1.5l RO water 1026 after that.</t>
  </si>
  <si>
    <t>Revenu de vacances. La salinité 1028 descendu doucement à 1026 temp 21°C remonté ensuite après remise en route des pompes qui étaient au sec pendant 2j environ.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</si>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</sst>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9"/>
      <color theme="1"/>
      <name val="Verdana"/>
      <family val="2"/>
    </font>
    <font>
      <b/>
      <sz val="9"/>
      <color rgb="FF000000"/>
      <name val="Verdana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/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1" applyAlignment="1" applyProtection="1"/>
    <xf numFmtId="0" fontId="4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/>
    <xf numFmtId="14" fontId="6" fillId="0" borderId="0" xfId="0" applyNumberFormat="1" applyFont="1"/>
    <xf numFmtId="0" fontId="0" fillId="4" borderId="0" xfId="0" applyFill="1" applyAlignment="1">
      <alignment horizontal="center"/>
    </xf>
    <xf numFmtId="0" fontId="0" fillId="4" borderId="1" xfId="0" applyFill="1" applyBorder="1"/>
    <xf numFmtId="164" fontId="0" fillId="0" borderId="1" xfId="0" applyNumberForma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0" fillId="5" borderId="0" xfId="0" applyFill="1"/>
    <xf numFmtId="0" fontId="0" fillId="6" borderId="1" xfId="0" applyFill="1" applyBorder="1"/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65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bgColor theme="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dvancedaquarist.com/2002/3/chemistry/view" TargetMode="External"/><Relationship Id="rId2" Type="http://schemas.openxmlformats.org/officeDocument/2006/relationships/hyperlink" Target="http://www.advancedaquarist.com/2002/1/chemistry/view" TargetMode="External"/><Relationship Id="rId1" Type="http://schemas.openxmlformats.org/officeDocument/2006/relationships/hyperlink" Target="http://www.advancedaquarist.com/2002/2/chemistry" TargetMode="External"/><Relationship Id="rId6" Type="http://schemas.openxmlformats.org/officeDocument/2006/relationships/hyperlink" Target="http://www.advancedaquarist.com/issues/august2003/chem.htm" TargetMode="External"/><Relationship Id="rId5" Type="http://schemas.openxmlformats.org/officeDocument/2006/relationships/hyperlink" Target="http://www.advancedaquarist.com/issues/feb2004/chem.htm" TargetMode="External"/><Relationship Id="rId4" Type="http://schemas.openxmlformats.org/officeDocument/2006/relationships/hyperlink" Target="http://reefkeeping.com/issues/2007-02/rhf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F09F-D1E1-324C-87EE-BDED8CDD5CF2}">
  <dimension ref="A1:Q1191"/>
  <sheetViews>
    <sheetView tabSelected="1" zoomScale="143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baseColWidth="10" defaultRowHeight="15" x14ac:dyDescent="0.2"/>
  <cols>
    <col min="1" max="1" width="10.6640625" style="6" customWidth="1"/>
    <col min="2" max="2" width="8.5" style="6" customWidth="1"/>
    <col min="3" max="3" width="10.33203125" style="6" customWidth="1"/>
    <col min="4" max="4" width="8.1640625" style="6" customWidth="1"/>
    <col min="5" max="5" width="10.1640625" style="6" customWidth="1"/>
    <col min="6" max="6" width="7.6640625" style="6" customWidth="1"/>
    <col min="7" max="9" width="9.1640625" style="6" customWidth="1"/>
    <col min="10" max="10" width="8" style="6" customWidth="1"/>
    <col min="11" max="11" width="7.83203125" style="6" customWidth="1"/>
    <col min="12" max="12" width="7.5" style="6" customWidth="1"/>
    <col min="13" max="13" width="8" style="6" customWidth="1"/>
    <col min="14" max="14" width="10.5" style="6" customWidth="1"/>
    <col min="15" max="15" width="8" style="6" customWidth="1"/>
    <col min="16" max="16" width="61.1640625" style="6" bestFit="1" customWidth="1"/>
    <col min="17" max="17" width="11" bestFit="1" customWidth="1"/>
    <col min="18" max="259" width="8.83203125" customWidth="1"/>
  </cols>
  <sheetData>
    <row r="1" spans="1:17" ht="21" customHeight="1" x14ac:dyDescent="0.2">
      <c r="A1" s="4" t="s">
        <v>10</v>
      </c>
      <c r="B1" s="4" t="s">
        <v>13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54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52</v>
      </c>
      <c r="O1" s="5" t="s">
        <v>30</v>
      </c>
      <c r="P1" s="5" t="s">
        <v>11</v>
      </c>
      <c r="Q1" s="21" t="s">
        <v>35</v>
      </c>
    </row>
    <row r="2" spans="1:17" x14ac:dyDescent="0.2">
      <c r="A2" s="17">
        <v>45668</v>
      </c>
      <c r="B2" s="20">
        <v>0.83333333333333337</v>
      </c>
      <c r="C2" s="7">
        <v>23</v>
      </c>
      <c r="D2" s="7">
        <v>1021</v>
      </c>
      <c r="E2" s="7" t="s">
        <v>12</v>
      </c>
      <c r="F2" s="7" t="s">
        <v>12</v>
      </c>
      <c r="G2" s="7" t="s">
        <v>12</v>
      </c>
      <c r="H2" s="7" t="s">
        <v>12</v>
      </c>
      <c r="I2" s="25" t="s">
        <v>12</v>
      </c>
      <c r="J2" s="7" t="s">
        <v>12</v>
      </c>
      <c r="K2" s="7">
        <v>0</v>
      </c>
      <c r="L2" s="7" t="s">
        <v>12</v>
      </c>
      <c r="M2" s="7" t="s">
        <v>12</v>
      </c>
      <c r="N2" s="24" t="s">
        <v>12</v>
      </c>
      <c r="O2" s="7" t="s">
        <v>12</v>
      </c>
      <c r="Q2" s="22" t="s">
        <v>36</v>
      </c>
    </row>
    <row r="3" spans="1:17" x14ac:dyDescent="0.2">
      <c r="A3" s="17">
        <v>45669</v>
      </c>
      <c r="B3" s="20">
        <v>0.83333333333333337</v>
      </c>
      <c r="C3" s="7">
        <v>24</v>
      </c>
      <c r="D3" s="7">
        <v>1021</v>
      </c>
      <c r="E3" s="7" t="s">
        <v>12</v>
      </c>
      <c r="F3" s="7" t="s">
        <v>12</v>
      </c>
      <c r="G3" s="7" t="s">
        <v>12</v>
      </c>
      <c r="H3" s="7" t="s">
        <v>12</v>
      </c>
      <c r="I3" s="25" t="s">
        <v>12</v>
      </c>
      <c r="J3" s="7" t="s">
        <v>12</v>
      </c>
      <c r="K3" s="7">
        <v>0</v>
      </c>
      <c r="L3" s="7" t="s">
        <v>12</v>
      </c>
      <c r="M3" s="7" t="s">
        <v>12</v>
      </c>
      <c r="N3" s="24" t="s">
        <v>12</v>
      </c>
      <c r="O3" s="7" t="s">
        <v>12</v>
      </c>
      <c r="Q3" s="22" t="s">
        <v>36</v>
      </c>
    </row>
    <row r="4" spans="1:17" x14ac:dyDescent="0.2">
      <c r="A4" s="17">
        <v>45670</v>
      </c>
      <c r="B4" s="20">
        <v>0.83333333333333337</v>
      </c>
      <c r="C4" s="7">
        <v>24</v>
      </c>
      <c r="D4" s="7">
        <v>1022</v>
      </c>
      <c r="E4" s="7" t="s">
        <v>12</v>
      </c>
      <c r="F4" s="7" t="s">
        <v>12</v>
      </c>
      <c r="G4" s="7" t="s">
        <v>12</v>
      </c>
      <c r="H4" s="7" t="s">
        <v>12</v>
      </c>
      <c r="I4" s="25" t="s">
        <v>12</v>
      </c>
      <c r="J4" s="7" t="s">
        <v>12</v>
      </c>
      <c r="K4" s="7">
        <v>0</v>
      </c>
      <c r="L4" s="7" t="s">
        <v>12</v>
      </c>
      <c r="M4" s="7" t="s">
        <v>12</v>
      </c>
      <c r="N4" s="24" t="s">
        <v>12</v>
      </c>
      <c r="O4" s="7" t="s">
        <v>12</v>
      </c>
      <c r="Q4" s="22" t="s">
        <v>36</v>
      </c>
    </row>
    <row r="5" spans="1:17" s="6" customFormat="1" x14ac:dyDescent="0.2">
      <c r="A5" s="17">
        <v>45671</v>
      </c>
      <c r="B5" s="20">
        <v>0.83333333333333337</v>
      </c>
      <c r="C5" s="7">
        <v>24</v>
      </c>
      <c r="D5" s="7">
        <v>1022</v>
      </c>
      <c r="E5" s="7" t="s">
        <v>12</v>
      </c>
      <c r="F5" s="7" t="s">
        <v>12</v>
      </c>
      <c r="G5" s="7" t="s">
        <v>12</v>
      </c>
      <c r="H5" s="7" t="s">
        <v>12</v>
      </c>
      <c r="I5" s="25" t="s">
        <v>12</v>
      </c>
      <c r="J5" s="7" t="s">
        <v>12</v>
      </c>
      <c r="K5" s="7">
        <v>0</v>
      </c>
      <c r="L5" s="7" t="s">
        <v>12</v>
      </c>
      <c r="M5" s="7" t="s">
        <v>12</v>
      </c>
      <c r="N5" s="24" t="s">
        <v>12</v>
      </c>
      <c r="O5" s="7" t="s">
        <v>12</v>
      </c>
      <c r="Q5" s="22" t="s">
        <v>36</v>
      </c>
    </row>
    <row r="6" spans="1:17" s="6" customFormat="1" x14ac:dyDescent="0.2">
      <c r="A6" s="17">
        <v>45674</v>
      </c>
      <c r="B6" s="20">
        <v>0.83333333333333337</v>
      </c>
      <c r="C6" s="7">
        <v>24</v>
      </c>
      <c r="D6" s="7">
        <v>1022</v>
      </c>
      <c r="E6" s="7" t="s">
        <v>12</v>
      </c>
      <c r="F6" s="7" t="s">
        <v>12</v>
      </c>
      <c r="G6" s="7" t="s">
        <v>12</v>
      </c>
      <c r="H6" s="7" t="s">
        <v>12</v>
      </c>
      <c r="I6" s="25" t="s">
        <v>12</v>
      </c>
      <c r="J6" s="7" t="s">
        <v>12</v>
      </c>
      <c r="K6" s="7">
        <v>0</v>
      </c>
      <c r="L6" s="7" t="s">
        <v>12</v>
      </c>
      <c r="M6" s="7" t="s">
        <v>12</v>
      </c>
      <c r="N6" s="24" t="s">
        <v>12</v>
      </c>
      <c r="O6" s="7" t="s">
        <v>12</v>
      </c>
      <c r="Q6" s="22" t="s">
        <v>36</v>
      </c>
    </row>
    <row r="7" spans="1:17" s="6" customFormat="1" x14ac:dyDescent="0.2">
      <c r="A7" s="17">
        <v>45683</v>
      </c>
      <c r="B7" s="20">
        <v>0.83333333333333337</v>
      </c>
      <c r="C7" s="7">
        <v>25</v>
      </c>
      <c r="D7" s="7">
        <v>1022</v>
      </c>
      <c r="E7" s="7" t="s">
        <v>12</v>
      </c>
      <c r="F7" s="7" t="s">
        <v>12</v>
      </c>
      <c r="G7" s="7" t="s">
        <v>12</v>
      </c>
      <c r="H7" s="7" t="s">
        <v>12</v>
      </c>
      <c r="I7" s="25" t="s">
        <v>12</v>
      </c>
      <c r="J7" s="7" t="s">
        <v>12</v>
      </c>
      <c r="K7" s="7">
        <v>0</v>
      </c>
      <c r="L7" s="7" t="s">
        <v>12</v>
      </c>
      <c r="M7" s="7" t="s">
        <v>12</v>
      </c>
      <c r="N7" s="24" t="s">
        <v>12</v>
      </c>
      <c r="O7" s="7" t="s">
        <v>12</v>
      </c>
      <c r="Q7" s="22" t="s">
        <v>36</v>
      </c>
    </row>
    <row r="8" spans="1:17" s="6" customFormat="1" x14ac:dyDescent="0.2">
      <c r="A8" s="17">
        <v>45722</v>
      </c>
      <c r="B8" s="20">
        <v>0.83333333333333337</v>
      </c>
      <c r="C8" s="7">
        <v>25</v>
      </c>
      <c r="D8" s="7">
        <v>1022</v>
      </c>
      <c r="E8" s="18">
        <v>8.1999999999999993</v>
      </c>
      <c r="F8" s="7">
        <v>8</v>
      </c>
      <c r="G8" s="7" t="s">
        <v>12</v>
      </c>
      <c r="H8" s="7" t="s">
        <v>12</v>
      </c>
      <c r="I8" s="25" t="s">
        <v>12</v>
      </c>
      <c r="J8" s="7" t="s">
        <v>12</v>
      </c>
      <c r="K8" s="7">
        <v>0</v>
      </c>
      <c r="L8" s="7">
        <v>0</v>
      </c>
      <c r="M8" s="7" t="s">
        <v>12</v>
      </c>
      <c r="N8" s="24" t="s">
        <v>12</v>
      </c>
      <c r="O8" s="7" t="s">
        <v>12</v>
      </c>
      <c r="Q8" s="22" t="s">
        <v>36</v>
      </c>
    </row>
    <row r="9" spans="1:17" s="6" customFormat="1" x14ac:dyDescent="0.2">
      <c r="A9" s="17">
        <v>45790</v>
      </c>
      <c r="B9" s="20">
        <v>0.83333333333333337</v>
      </c>
      <c r="C9" s="7">
        <v>25</v>
      </c>
      <c r="D9" s="7">
        <v>1024</v>
      </c>
      <c r="E9" s="7">
        <v>8.4</v>
      </c>
      <c r="F9" s="7">
        <v>8</v>
      </c>
      <c r="G9" s="7">
        <v>400</v>
      </c>
      <c r="H9" s="7">
        <v>1410</v>
      </c>
      <c r="I9" s="25">
        <f>H9/G9</f>
        <v>3.5249999999999999</v>
      </c>
      <c r="J9" s="7" t="s">
        <v>12</v>
      </c>
      <c r="K9" s="7" t="s">
        <v>12</v>
      </c>
      <c r="L9" s="7">
        <v>0</v>
      </c>
      <c r="M9" s="7">
        <v>0.01</v>
      </c>
      <c r="N9" s="24" t="s">
        <v>12</v>
      </c>
      <c r="O9" s="7" t="s">
        <v>12</v>
      </c>
      <c r="Q9"/>
    </row>
    <row r="10" spans="1:17" s="6" customFormat="1" x14ac:dyDescent="0.2">
      <c r="A10" s="17">
        <v>45829</v>
      </c>
      <c r="B10" s="20">
        <v>0.83333333333333337</v>
      </c>
      <c r="C10" s="7">
        <v>25</v>
      </c>
      <c r="D10" s="7">
        <v>1023</v>
      </c>
      <c r="E10" s="7" t="s">
        <v>12</v>
      </c>
      <c r="F10" s="7" t="s">
        <v>12</v>
      </c>
      <c r="G10" s="7" t="s">
        <v>12</v>
      </c>
      <c r="H10" s="7" t="s">
        <v>12</v>
      </c>
      <c r="I10" s="25" t="s">
        <v>12</v>
      </c>
      <c r="J10" s="7" t="s">
        <v>12</v>
      </c>
      <c r="K10" s="7" t="s">
        <v>12</v>
      </c>
      <c r="L10" s="7">
        <v>0</v>
      </c>
      <c r="M10" s="7">
        <v>0.01</v>
      </c>
      <c r="N10" s="24" t="s">
        <v>12</v>
      </c>
      <c r="O10" s="7" t="s">
        <v>12</v>
      </c>
      <c r="P10" s="6" t="s">
        <v>49</v>
      </c>
      <c r="Q10" s="23" t="s">
        <v>37</v>
      </c>
    </row>
    <row r="11" spans="1:17" s="6" customFormat="1" x14ac:dyDescent="0.2">
      <c r="A11" s="17">
        <v>45832</v>
      </c>
      <c r="B11" s="20">
        <v>0.875</v>
      </c>
      <c r="C11" s="7">
        <v>25</v>
      </c>
      <c r="D11" s="7">
        <v>1023</v>
      </c>
      <c r="E11" s="7">
        <v>8.25</v>
      </c>
      <c r="F11" s="7">
        <v>5</v>
      </c>
      <c r="G11" s="7">
        <v>355</v>
      </c>
      <c r="H11" s="7">
        <v>1290</v>
      </c>
      <c r="I11" s="25">
        <f t="shared" ref="I11:I37" si="0">H11/G11</f>
        <v>3.6338028169014085</v>
      </c>
      <c r="J11" s="7" t="s">
        <v>12</v>
      </c>
      <c r="K11" s="7" t="s">
        <v>12</v>
      </c>
      <c r="L11" s="7">
        <v>0</v>
      </c>
      <c r="M11" s="7">
        <v>0</v>
      </c>
      <c r="N11" s="24" t="s">
        <v>12</v>
      </c>
      <c r="O11" s="7">
        <v>0</v>
      </c>
      <c r="P11" s="6" t="s">
        <v>31</v>
      </c>
      <c r="Q11" s="23" t="s">
        <v>37</v>
      </c>
    </row>
    <row r="12" spans="1:17" s="6" customFormat="1" x14ac:dyDescent="0.2">
      <c r="A12" s="17">
        <v>45833</v>
      </c>
      <c r="B12" s="20">
        <v>0.79166666666666663</v>
      </c>
      <c r="C12" s="7">
        <v>26</v>
      </c>
      <c r="D12" s="7">
        <v>1023</v>
      </c>
      <c r="E12" s="7" t="s">
        <v>12</v>
      </c>
      <c r="F12" s="7">
        <v>6</v>
      </c>
      <c r="G12" s="7">
        <v>445</v>
      </c>
      <c r="H12" s="7" t="s">
        <v>12</v>
      </c>
      <c r="I12" s="25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24" t="s">
        <v>12</v>
      </c>
      <c r="O12" s="7" t="s">
        <v>12</v>
      </c>
      <c r="P12" s="6" t="s">
        <v>32</v>
      </c>
      <c r="Q12" s="23" t="s">
        <v>37</v>
      </c>
    </row>
    <row r="13" spans="1:17" s="6" customFormat="1" x14ac:dyDescent="0.2">
      <c r="A13" s="17">
        <v>45835</v>
      </c>
      <c r="B13" s="20">
        <v>0.75</v>
      </c>
      <c r="C13" s="7">
        <v>26</v>
      </c>
      <c r="D13" s="7">
        <v>1024</v>
      </c>
      <c r="E13" s="7" t="s">
        <v>12</v>
      </c>
      <c r="F13" s="7">
        <v>7</v>
      </c>
      <c r="G13" s="7" t="s">
        <v>12</v>
      </c>
      <c r="H13" s="7" t="s">
        <v>12</v>
      </c>
      <c r="I13" s="25" t="s">
        <v>12</v>
      </c>
      <c r="J13" s="7" t="s">
        <v>12</v>
      </c>
      <c r="K13" s="7" t="s">
        <v>12</v>
      </c>
      <c r="L13" s="7" t="s">
        <v>12</v>
      </c>
      <c r="M13" s="7" t="s">
        <v>12</v>
      </c>
      <c r="N13" s="24" t="s">
        <v>12</v>
      </c>
      <c r="O13" s="7" t="s">
        <v>12</v>
      </c>
      <c r="P13" s="6" t="s">
        <v>34</v>
      </c>
      <c r="Q13" s="23" t="s">
        <v>37</v>
      </c>
    </row>
    <row r="14" spans="1:17" s="6" customFormat="1" x14ac:dyDescent="0.2">
      <c r="A14" s="17">
        <v>45837</v>
      </c>
      <c r="B14" s="20">
        <v>0.58333333333333337</v>
      </c>
      <c r="C14" s="7">
        <v>25</v>
      </c>
      <c r="D14" s="7">
        <v>1023</v>
      </c>
      <c r="E14" s="7">
        <v>8.3000000000000007</v>
      </c>
      <c r="F14" s="7">
        <v>7</v>
      </c>
      <c r="G14" s="7" t="s">
        <v>12</v>
      </c>
      <c r="H14" s="7" t="s">
        <v>12</v>
      </c>
      <c r="I14" s="25" t="s">
        <v>12</v>
      </c>
      <c r="J14" s="7" t="s">
        <v>12</v>
      </c>
      <c r="K14" s="7" t="s">
        <v>12</v>
      </c>
      <c r="L14" s="7">
        <v>2</v>
      </c>
      <c r="M14" s="7">
        <v>0</v>
      </c>
      <c r="N14" s="24" t="s">
        <v>12</v>
      </c>
      <c r="O14" s="7" t="s">
        <v>12</v>
      </c>
      <c r="P14" s="6" t="s">
        <v>33</v>
      </c>
      <c r="Q14" s="23" t="s">
        <v>37</v>
      </c>
    </row>
    <row r="15" spans="1:17" s="6" customFormat="1" x14ac:dyDescent="0.2">
      <c r="A15" s="17">
        <v>45838</v>
      </c>
      <c r="B15" s="20">
        <v>0.875</v>
      </c>
      <c r="C15" s="7">
        <v>25</v>
      </c>
      <c r="D15" s="7">
        <v>1023</v>
      </c>
      <c r="E15" s="7" t="s">
        <v>12</v>
      </c>
      <c r="F15" s="7">
        <v>8</v>
      </c>
      <c r="G15" s="7" t="s">
        <v>12</v>
      </c>
      <c r="H15" s="7" t="s">
        <v>12</v>
      </c>
      <c r="I15" s="25" t="s">
        <v>12</v>
      </c>
      <c r="J15" s="7" t="s">
        <v>12</v>
      </c>
      <c r="K15" s="7" t="s">
        <v>12</v>
      </c>
      <c r="L15" s="7" t="s">
        <v>12</v>
      </c>
      <c r="M15" s="7" t="s">
        <v>12</v>
      </c>
      <c r="N15" s="24" t="s">
        <v>12</v>
      </c>
      <c r="O15" s="7" t="s">
        <v>12</v>
      </c>
      <c r="P15" s="6" t="s">
        <v>38</v>
      </c>
      <c r="Q15" s="23" t="s">
        <v>37</v>
      </c>
    </row>
    <row r="16" spans="1:17" s="6" customFormat="1" x14ac:dyDescent="0.2">
      <c r="A16" s="17">
        <v>45839</v>
      </c>
      <c r="B16" s="20">
        <v>0.79166666666666663</v>
      </c>
      <c r="C16" s="7">
        <v>26</v>
      </c>
      <c r="D16" s="7">
        <v>1021</v>
      </c>
      <c r="E16" s="7" t="s">
        <v>12</v>
      </c>
      <c r="F16" s="7" t="s">
        <v>12</v>
      </c>
      <c r="G16" s="7" t="s">
        <v>12</v>
      </c>
      <c r="H16" s="7" t="s">
        <v>12</v>
      </c>
      <c r="I16" s="25" t="s">
        <v>12</v>
      </c>
      <c r="J16" s="7" t="s">
        <v>12</v>
      </c>
      <c r="K16" s="7" t="s">
        <v>12</v>
      </c>
      <c r="L16" s="7" t="s">
        <v>12</v>
      </c>
      <c r="M16" s="7" t="s">
        <v>12</v>
      </c>
      <c r="N16" s="24" t="s">
        <v>12</v>
      </c>
      <c r="O16" s="7" t="s">
        <v>12</v>
      </c>
      <c r="P16" s="6" t="s">
        <v>39</v>
      </c>
      <c r="Q16" s="23" t="s">
        <v>37</v>
      </c>
    </row>
    <row r="17" spans="1:17" s="6" customFormat="1" x14ac:dyDescent="0.2">
      <c r="A17" s="17">
        <v>45840</v>
      </c>
      <c r="B17" s="20">
        <v>0.41666666666666669</v>
      </c>
      <c r="C17" s="7">
        <v>25</v>
      </c>
      <c r="D17" s="7" t="s">
        <v>12</v>
      </c>
      <c r="E17" s="7" t="s">
        <v>12</v>
      </c>
      <c r="F17" s="7">
        <v>9</v>
      </c>
      <c r="G17" s="7" t="s">
        <v>12</v>
      </c>
      <c r="H17" s="7" t="s">
        <v>12</v>
      </c>
      <c r="I17" s="25" t="s">
        <v>12</v>
      </c>
      <c r="J17" s="7" t="s">
        <v>12</v>
      </c>
      <c r="K17" s="7" t="s">
        <v>12</v>
      </c>
      <c r="L17" s="7">
        <v>3</v>
      </c>
      <c r="M17" s="7">
        <v>0.01</v>
      </c>
      <c r="N17" s="24" t="s">
        <v>12</v>
      </c>
      <c r="O17" s="7" t="s">
        <v>12</v>
      </c>
      <c r="P17" s="6" t="s">
        <v>40</v>
      </c>
      <c r="Q17" s="23" t="s">
        <v>37</v>
      </c>
    </row>
    <row r="18" spans="1:17" s="6" customFormat="1" x14ac:dyDescent="0.2">
      <c r="A18" s="17">
        <v>45841</v>
      </c>
      <c r="B18" s="20">
        <v>0.91666666666666663</v>
      </c>
      <c r="C18" s="7">
        <v>25</v>
      </c>
      <c r="D18" s="7">
        <v>1021</v>
      </c>
      <c r="E18" s="7">
        <v>8.4</v>
      </c>
      <c r="F18" s="7">
        <v>8</v>
      </c>
      <c r="G18" s="7">
        <v>390</v>
      </c>
      <c r="H18" s="7">
        <v>1290</v>
      </c>
      <c r="I18" s="25">
        <f t="shared" si="0"/>
        <v>3.3076923076923075</v>
      </c>
      <c r="J18" s="7" t="s">
        <v>12</v>
      </c>
      <c r="K18" s="7" t="s">
        <v>12</v>
      </c>
      <c r="L18" s="7">
        <v>5</v>
      </c>
      <c r="M18" s="7">
        <v>0.03</v>
      </c>
      <c r="N18" s="24" t="s">
        <v>12</v>
      </c>
      <c r="O18" s="7" t="s">
        <v>12</v>
      </c>
      <c r="P18" s="6" t="s">
        <v>41</v>
      </c>
      <c r="Q18" s="23" t="s">
        <v>37</v>
      </c>
    </row>
    <row r="19" spans="1:17" s="6" customFormat="1" x14ac:dyDescent="0.2">
      <c r="A19" s="17">
        <v>45843</v>
      </c>
      <c r="B19" s="20">
        <v>0.5</v>
      </c>
      <c r="C19" s="7">
        <v>25</v>
      </c>
      <c r="D19" s="7">
        <v>1022</v>
      </c>
      <c r="E19" s="7" t="s">
        <v>12</v>
      </c>
      <c r="F19" s="7">
        <v>9</v>
      </c>
      <c r="G19" s="7" t="s">
        <v>12</v>
      </c>
      <c r="H19" s="7" t="s">
        <v>12</v>
      </c>
      <c r="I19" s="25" t="s">
        <v>12</v>
      </c>
      <c r="J19" s="7" t="s">
        <v>12</v>
      </c>
      <c r="K19" s="7" t="s">
        <v>12</v>
      </c>
      <c r="L19" s="7" t="s">
        <v>12</v>
      </c>
      <c r="M19" s="7" t="s">
        <v>12</v>
      </c>
      <c r="N19" s="24" t="s">
        <v>12</v>
      </c>
      <c r="O19" s="7" t="s">
        <v>12</v>
      </c>
      <c r="P19" s="6" t="s">
        <v>42</v>
      </c>
      <c r="Q19" s="23" t="s">
        <v>37</v>
      </c>
    </row>
    <row r="20" spans="1:17" s="6" customFormat="1" x14ac:dyDescent="0.2">
      <c r="A20" s="17">
        <v>45867</v>
      </c>
      <c r="B20" s="20">
        <v>0.70833333333333337</v>
      </c>
      <c r="C20" s="7">
        <v>25</v>
      </c>
      <c r="D20" s="7">
        <v>1024</v>
      </c>
      <c r="E20" s="7" t="s">
        <v>12</v>
      </c>
      <c r="F20" s="7">
        <v>7</v>
      </c>
      <c r="G20" s="7" t="s">
        <v>12</v>
      </c>
      <c r="H20" s="7" t="s">
        <v>12</v>
      </c>
      <c r="I20" s="25" t="s">
        <v>12</v>
      </c>
      <c r="J20" s="7" t="s">
        <v>12</v>
      </c>
      <c r="K20" s="7" t="s">
        <v>12</v>
      </c>
      <c r="L20" s="7" t="s">
        <v>12</v>
      </c>
      <c r="M20" s="7" t="s">
        <v>12</v>
      </c>
      <c r="N20" s="24" t="s">
        <v>12</v>
      </c>
      <c r="O20" s="7" t="s">
        <v>12</v>
      </c>
      <c r="P20" s="6" t="s">
        <v>43</v>
      </c>
      <c r="Q20" s="23" t="s">
        <v>37</v>
      </c>
    </row>
    <row r="21" spans="1:17" s="6" customFormat="1" x14ac:dyDescent="0.2">
      <c r="A21" s="17">
        <v>45868</v>
      </c>
      <c r="B21" s="20">
        <v>0.8125</v>
      </c>
      <c r="C21" s="7">
        <v>25</v>
      </c>
      <c r="D21" s="7">
        <v>1024</v>
      </c>
      <c r="E21" s="7">
        <v>8.4</v>
      </c>
      <c r="F21" s="7">
        <v>9</v>
      </c>
      <c r="G21" s="7">
        <v>390</v>
      </c>
      <c r="H21" s="7">
        <v>1170</v>
      </c>
      <c r="I21" s="25">
        <f t="shared" si="0"/>
        <v>3</v>
      </c>
      <c r="J21" s="7" t="s">
        <v>12</v>
      </c>
      <c r="K21" s="7" t="s">
        <v>12</v>
      </c>
      <c r="L21" s="7">
        <v>2</v>
      </c>
      <c r="M21" s="7">
        <v>0</v>
      </c>
      <c r="N21" s="24" t="s">
        <v>12</v>
      </c>
      <c r="O21" s="7">
        <v>0.03</v>
      </c>
      <c r="Q21" s="23" t="s">
        <v>37</v>
      </c>
    </row>
    <row r="22" spans="1:17" s="6" customFormat="1" x14ac:dyDescent="0.2">
      <c r="A22" s="17">
        <v>45872</v>
      </c>
      <c r="B22" s="20">
        <v>0.91666666666666663</v>
      </c>
      <c r="C22" s="7">
        <v>25</v>
      </c>
      <c r="D22" s="7">
        <v>1024</v>
      </c>
      <c r="E22" s="7" t="s">
        <v>12</v>
      </c>
      <c r="F22" s="7">
        <v>9</v>
      </c>
      <c r="G22" s="7" t="s">
        <v>12</v>
      </c>
      <c r="H22" s="7" t="s">
        <v>12</v>
      </c>
      <c r="I22" s="25" t="s">
        <v>12</v>
      </c>
      <c r="J22" s="7" t="s">
        <v>12</v>
      </c>
      <c r="K22" s="7" t="s">
        <v>12</v>
      </c>
      <c r="L22" s="7" t="s">
        <v>12</v>
      </c>
      <c r="M22" s="7" t="s">
        <v>12</v>
      </c>
      <c r="N22" s="24" t="s">
        <v>12</v>
      </c>
      <c r="O22" s="7" t="s">
        <v>12</v>
      </c>
      <c r="P22" s="6" t="s">
        <v>44</v>
      </c>
      <c r="Q22" s="23" t="s">
        <v>37</v>
      </c>
    </row>
    <row r="23" spans="1:17" s="6" customFormat="1" x14ac:dyDescent="0.2">
      <c r="A23" s="17">
        <v>45873</v>
      </c>
      <c r="B23" s="20">
        <v>0.60416666666666663</v>
      </c>
      <c r="C23" s="7">
        <v>25</v>
      </c>
      <c r="D23" s="7">
        <v>1023</v>
      </c>
      <c r="E23" s="7" t="s">
        <v>12</v>
      </c>
      <c r="F23" s="7" t="s">
        <v>12</v>
      </c>
      <c r="G23" s="7" t="s">
        <v>12</v>
      </c>
      <c r="H23" s="7">
        <v>1365</v>
      </c>
      <c r="I23" s="25" t="s">
        <v>12</v>
      </c>
      <c r="J23" s="7" t="s">
        <v>12</v>
      </c>
      <c r="K23" s="7" t="s">
        <v>12</v>
      </c>
      <c r="L23" s="26">
        <v>10</v>
      </c>
      <c r="M23" s="7">
        <v>0.25</v>
      </c>
      <c r="N23" s="24">
        <f>L23/M23</f>
        <v>40</v>
      </c>
      <c r="O23" s="7" t="s">
        <v>12</v>
      </c>
      <c r="Q23" s="23" t="s">
        <v>37</v>
      </c>
    </row>
    <row r="24" spans="1:17" s="6" customFormat="1" x14ac:dyDescent="0.2">
      <c r="A24" s="17">
        <v>45874</v>
      </c>
      <c r="B24" s="20">
        <v>0.70833333333333337</v>
      </c>
      <c r="C24" s="7">
        <v>25</v>
      </c>
      <c r="D24" s="7">
        <v>1024</v>
      </c>
      <c r="E24" s="7" t="s">
        <v>12</v>
      </c>
      <c r="F24" s="7" t="s">
        <v>12</v>
      </c>
      <c r="G24" s="7">
        <v>420</v>
      </c>
      <c r="H24" s="7" t="s">
        <v>12</v>
      </c>
      <c r="I24" s="25" t="s">
        <v>12</v>
      </c>
      <c r="J24" s="7" t="s">
        <v>12</v>
      </c>
      <c r="K24" s="7" t="s">
        <v>12</v>
      </c>
      <c r="L24" s="26" t="s">
        <v>12</v>
      </c>
      <c r="M24" s="7" t="s">
        <v>12</v>
      </c>
      <c r="N24" s="24" t="s">
        <v>12</v>
      </c>
      <c r="O24" s="7" t="s">
        <v>12</v>
      </c>
      <c r="P24" s="6" t="s">
        <v>45</v>
      </c>
      <c r="Q24" s="23" t="s">
        <v>37</v>
      </c>
    </row>
    <row r="25" spans="1:17" s="6" customFormat="1" x14ac:dyDescent="0.2">
      <c r="A25" s="17">
        <v>45877</v>
      </c>
      <c r="B25" s="20">
        <v>0.83333333333333337</v>
      </c>
      <c r="C25" s="7">
        <v>25</v>
      </c>
      <c r="D25" s="7">
        <v>1025</v>
      </c>
      <c r="E25" s="7" t="s">
        <v>12</v>
      </c>
      <c r="F25" s="7">
        <v>8.5</v>
      </c>
      <c r="G25" s="7" t="s">
        <v>12</v>
      </c>
      <c r="H25" s="7" t="s">
        <v>12</v>
      </c>
      <c r="I25" s="25" t="s">
        <v>12</v>
      </c>
      <c r="J25" s="7" t="s">
        <v>12</v>
      </c>
      <c r="K25" s="7" t="s">
        <v>12</v>
      </c>
      <c r="L25" s="26" t="s">
        <v>12</v>
      </c>
      <c r="M25" s="7" t="s">
        <v>12</v>
      </c>
      <c r="N25" s="24" t="s">
        <v>12</v>
      </c>
      <c r="O25" s="7" t="s">
        <v>12</v>
      </c>
      <c r="P25" s="6" t="s">
        <v>46</v>
      </c>
      <c r="Q25" s="23" t="s">
        <v>37</v>
      </c>
    </row>
    <row r="26" spans="1:17" s="6" customFormat="1" x14ac:dyDescent="0.2">
      <c r="A26" s="17">
        <v>45884</v>
      </c>
      <c r="B26" s="20">
        <v>0.58333333333333337</v>
      </c>
      <c r="C26" s="7">
        <v>25</v>
      </c>
      <c r="D26" s="7">
        <v>1023</v>
      </c>
      <c r="E26" s="7">
        <v>8.2200000000000006</v>
      </c>
      <c r="F26" s="7">
        <v>8.5</v>
      </c>
      <c r="G26" s="7">
        <v>420</v>
      </c>
      <c r="H26" s="7">
        <v>1365</v>
      </c>
      <c r="I26" s="25">
        <f t="shared" si="0"/>
        <v>3.25</v>
      </c>
      <c r="J26" s="7" t="s">
        <v>12</v>
      </c>
      <c r="K26" s="7" t="s">
        <v>12</v>
      </c>
      <c r="L26" s="26">
        <v>10</v>
      </c>
      <c r="M26" s="7">
        <v>0.15</v>
      </c>
      <c r="N26" s="24">
        <f t="shared" ref="N26:N44" si="1">L26/M26</f>
        <v>66.666666666666671</v>
      </c>
      <c r="O26" s="7" t="s">
        <v>12</v>
      </c>
      <c r="P26" s="6" t="s">
        <v>47</v>
      </c>
      <c r="Q26" s="23" t="s">
        <v>37</v>
      </c>
    </row>
    <row r="27" spans="1:17" s="6" customFormat="1" x14ac:dyDescent="0.2">
      <c r="A27" s="17">
        <v>45888</v>
      </c>
      <c r="B27" s="20">
        <v>0.79166666666666663</v>
      </c>
      <c r="C27" s="7">
        <v>25</v>
      </c>
      <c r="D27" s="7">
        <v>1025</v>
      </c>
      <c r="E27" s="7" t="s">
        <v>12</v>
      </c>
      <c r="F27" s="7">
        <v>10.9</v>
      </c>
      <c r="G27" s="7" t="s">
        <v>12</v>
      </c>
      <c r="H27" s="7" t="s">
        <v>12</v>
      </c>
      <c r="I27" s="25" t="s">
        <v>12</v>
      </c>
      <c r="J27" s="7" t="s">
        <v>12</v>
      </c>
      <c r="K27" s="7" t="s">
        <v>12</v>
      </c>
      <c r="L27" s="26" t="s">
        <v>12</v>
      </c>
      <c r="M27" s="7" t="s">
        <v>12</v>
      </c>
      <c r="N27" s="24" t="s">
        <v>12</v>
      </c>
      <c r="O27" s="7" t="s">
        <v>12</v>
      </c>
      <c r="Q27" s="23" t="s">
        <v>37</v>
      </c>
    </row>
    <row r="28" spans="1:17" s="6" customFormat="1" x14ac:dyDescent="0.2">
      <c r="A28" s="17">
        <v>45897</v>
      </c>
      <c r="B28" s="20">
        <v>0.83333333333333337</v>
      </c>
      <c r="C28" s="7">
        <v>25</v>
      </c>
      <c r="D28" s="7">
        <v>1024.5</v>
      </c>
      <c r="E28" s="7">
        <v>8.4</v>
      </c>
      <c r="F28" s="7">
        <v>9.3000000000000007</v>
      </c>
      <c r="G28" s="7">
        <v>450</v>
      </c>
      <c r="H28" s="7">
        <v>1365</v>
      </c>
      <c r="I28" s="25">
        <f t="shared" si="0"/>
        <v>3.0333333333333332</v>
      </c>
      <c r="J28" s="7" t="s">
        <v>12</v>
      </c>
      <c r="K28" s="7" t="s">
        <v>12</v>
      </c>
      <c r="L28" s="26">
        <v>10</v>
      </c>
      <c r="M28" s="7">
        <v>0.03</v>
      </c>
      <c r="N28" s="24">
        <f t="shared" si="1"/>
        <v>333.33333333333337</v>
      </c>
      <c r="O28" s="7" t="s">
        <v>12</v>
      </c>
      <c r="P28" s="6" t="s">
        <v>48</v>
      </c>
      <c r="Q28" s="23" t="s">
        <v>37</v>
      </c>
    </row>
    <row r="29" spans="1:17" s="6" customFormat="1" x14ac:dyDescent="0.2">
      <c r="A29" s="17">
        <v>45902</v>
      </c>
      <c r="B29" s="20">
        <v>0.375</v>
      </c>
      <c r="C29" s="7">
        <v>25</v>
      </c>
      <c r="D29" s="7">
        <v>1024.5</v>
      </c>
      <c r="E29" s="7" t="s">
        <v>12</v>
      </c>
      <c r="F29" s="7">
        <v>9.6</v>
      </c>
      <c r="G29" s="7" t="s">
        <v>12</v>
      </c>
      <c r="H29" s="7" t="s">
        <v>12</v>
      </c>
      <c r="I29" s="25" t="s">
        <v>12</v>
      </c>
      <c r="J29" s="7" t="s">
        <v>12</v>
      </c>
      <c r="K29" s="7" t="s">
        <v>12</v>
      </c>
      <c r="L29" s="26" t="s">
        <v>12</v>
      </c>
      <c r="M29" s="7" t="s">
        <v>12</v>
      </c>
      <c r="N29" s="24" t="s">
        <v>12</v>
      </c>
      <c r="O29" s="7" t="s">
        <v>12</v>
      </c>
      <c r="Q29" s="23" t="s">
        <v>37</v>
      </c>
    </row>
    <row r="30" spans="1:17" s="6" customFormat="1" x14ac:dyDescent="0.2">
      <c r="A30" s="17">
        <v>45905</v>
      </c>
      <c r="B30" s="20">
        <v>0.77083333333333337</v>
      </c>
      <c r="C30" s="7">
        <v>25</v>
      </c>
      <c r="D30" s="7">
        <v>1024</v>
      </c>
      <c r="E30" s="7">
        <v>8.3000000000000007</v>
      </c>
      <c r="F30" s="7">
        <v>9.6</v>
      </c>
      <c r="G30" s="7">
        <v>410</v>
      </c>
      <c r="H30" s="7">
        <v>1335</v>
      </c>
      <c r="I30" s="25">
        <f t="shared" si="0"/>
        <v>3.2560975609756095</v>
      </c>
      <c r="J30" s="7" t="s">
        <v>12</v>
      </c>
      <c r="K30" s="7" t="s">
        <v>12</v>
      </c>
      <c r="L30" s="26">
        <v>25</v>
      </c>
      <c r="M30" s="7">
        <v>0.03</v>
      </c>
      <c r="N30" s="24">
        <f t="shared" si="1"/>
        <v>833.33333333333337</v>
      </c>
      <c r="O30" s="7">
        <v>0.03</v>
      </c>
      <c r="P30" s="6" t="s">
        <v>50</v>
      </c>
      <c r="Q30" s="23" t="s">
        <v>37</v>
      </c>
    </row>
    <row r="31" spans="1:17" s="6" customFormat="1" x14ac:dyDescent="0.2">
      <c r="A31" s="17">
        <v>45916</v>
      </c>
      <c r="B31" s="20">
        <v>0.5625</v>
      </c>
      <c r="C31" s="7">
        <v>25</v>
      </c>
      <c r="D31" s="7" t="s">
        <v>12</v>
      </c>
      <c r="E31" s="7" t="s">
        <v>12</v>
      </c>
      <c r="F31" s="7">
        <v>8.6</v>
      </c>
      <c r="G31" s="7" t="s">
        <v>12</v>
      </c>
      <c r="H31" s="7" t="s">
        <v>12</v>
      </c>
      <c r="I31" s="25" t="s">
        <v>12</v>
      </c>
      <c r="J31" s="7" t="s">
        <v>12</v>
      </c>
      <c r="K31" s="7" t="s">
        <v>12</v>
      </c>
      <c r="L31" s="26" t="s">
        <v>12</v>
      </c>
      <c r="M31" s="7" t="s">
        <v>12</v>
      </c>
      <c r="N31" s="24" t="s">
        <v>12</v>
      </c>
      <c r="O31" s="7" t="s">
        <v>12</v>
      </c>
      <c r="P31" s="6" t="s">
        <v>51</v>
      </c>
      <c r="Q31" s="23" t="s">
        <v>37</v>
      </c>
    </row>
    <row r="32" spans="1:17" s="6" customFormat="1" x14ac:dyDescent="0.2">
      <c r="A32" s="17">
        <v>45921</v>
      </c>
      <c r="B32" s="20">
        <v>0.47916666666666669</v>
      </c>
      <c r="C32" s="7">
        <v>25</v>
      </c>
      <c r="D32" s="7">
        <v>1023</v>
      </c>
      <c r="E32" s="7">
        <v>8.1999999999999993</v>
      </c>
      <c r="F32" s="7">
        <v>8.9</v>
      </c>
      <c r="G32" s="7">
        <v>380</v>
      </c>
      <c r="H32" s="7">
        <v>1335</v>
      </c>
      <c r="I32" s="25">
        <f t="shared" si="0"/>
        <v>3.513157894736842</v>
      </c>
      <c r="J32" s="7" t="s">
        <v>12</v>
      </c>
      <c r="K32" s="7" t="s">
        <v>12</v>
      </c>
      <c r="L32" s="26">
        <v>10</v>
      </c>
      <c r="M32" s="7">
        <v>0.01</v>
      </c>
      <c r="N32" s="24">
        <f t="shared" si="1"/>
        <v>1000</v>
      </c>
      <c r="O32" s="7" t="s">
        <v>12</v>
      </c>
      <c r="P32" s="6" t="s">
        <v>53</v>
      </c>
      <c r="Q32" s="23" t="s">
        <v>37</v>
      </c>
    </row>
    <row r="33" spans="1:17" s="6" customFormat="1" x14ac:dyDescent="0.2">
      <c r="A33" s="17">
        <v>45929</v>
      </c>
      <c r="B33" s="20">
        <v>0.58333333333333337</v>
      </c>
      <c r="C33" s="7">
        <v>25</v>
      </c>
      <c r="D33" s="7">
        <v>1024</v>
      </c>
      <c r="E33" s="7">
        <v>8.2200000000000006</v>
      </c>
      <c r="F33" s="7">
        <v>8.9</v>
      </c>
      <c r="G33" s="7">
        <v>410</v>
      </c>
      <c r="H33" s="7">
        <v>1410</v>
      </c>
      <c r="I33" s="25">
        <f t="shared" si="0"/>
        <v>3.4390243902439024</v>
      </c>
      <c r="J33" s="7" t="s">
        <v>12</v>
      </c>
      <c r="K33" s="7" t="s">
        <v>12</v>
      </c>
      <c r="L33" s="26">
        <v>25</v>
      </c>
      <c r="M33" s="7">
        <v>7.0000000000000007E-2</v>
      </c>
      <c r="N33" s="24">
        <f t="shared" si="1"/>
        <v>357.14285714285711</v>
      </c>
      <c r="O33" s="7" t="s">
        <v>12</v>
      </c>
      <c r="P33" s="6" t="s">
        <v>55</v>
      </c>
      <c r="Q33" s="23" t="s">
        <v>37</v>
      </c>
    </row>
    <row r="34" spans="1:17" s="6" customFormat="1" x14ac:dyDescent="0.2">
      <c r="A34" s="17">
        <v>45903</v>
      </c>
      <c r="B34" s="20">
        <v>0.375</v>
      </c>
      <c r="C34" s="7">
        <v>25</v>
      </c>
      <c r="D34" s="7">
        <v>1024</v>
      </c>
      <c r="E34" s="7" t="s">
        <v>12</v>
      </c>
      <c r="F34" s="7" t="s">
        <v>12</v>
      </c>
      <c r="G34" s="7" t="s">
        <v>12</v>
      </c>
      <c r="H34" s="7" t="s">
        <v>12</v>
      </c>
      <c r="I34" s="25" t="s">
        <v>12</v>
      </c>
      <c r="J34" s="7" t="s">
        <v>12</v>
      </c>
      <c r="K34" s="7" t="s">
        <v>12</v>
      </c>
      <c r="L34" s="26" t="s">
        <v>12</v>
      </c>
      <c r="M34" s="7">
        <v>7.0000000000000007E-2</v>
      </c>
      <c r="N34" s="24" t="s">
        <v>12</v>
      </c>
      <c r="O34" s="7" t="s">
        <v>12</v>
      </c>
    </row>
    <row r="35" spans="1:17" s="6" customFormat="1" x14ac:dyDescent="0.2">
      <c r="A35" s="17">
        <v>45905</v>
      </c>
      <c r="B35" s="20">
        <v>0.45833333333333331</v>
      </c>
      <c r="C35" s="7">
        <v>25</v>
      </c>
      <c r="D35" s="7">
        <v>1023.5</v>
      </c>
      <c r="E35" s="7">
        <v>8.15</v>
      </c>
      <c r="F35" s="7">
        <v>8.9</v>
      </c>
      <c r="G35" s="7">
        <v>410</v>
      </c>
      <c r="H35" s="7">
        <v>1410</v>
      </c>
      <c r="I35" s="25">
        <f t="shared" si="0"/>
        <v>3.4390243902439024</v>
      </c>
      <c r="J35" s="7" t="s">
        <v>12</v>
      </c>
      <c r="K35" s="7" t="s">
        <v>12</v>
      </c>
      <c r="L35" s="26">
        <v>25</v>
      </c>
      <c r="M35" s="7">
        <v>7.0000000000000007E-2</v>
      </c>
      <c r="N35" s="24">
        <f t="shared" si="1"/>
        <v>357.14285714285711</v>
      </c>
      <c r="O35" s="7" t="s">
        <v>12</v>
      </c>
      <c r="P35" s="6" t="s">
        <v>56</v>
      </c>
    </row>
    <row r="36" spans="1:17" s="6" customFormat="1" x14ac:dyDescent="0.2">
      <c r="A36" s="17">
        <v>45908</v>
      </c>
      <c r="B36" s="20">
        <v>0.4375</v>
      </c>
      <c r="C36" s="7">
        <v>25</v>
      </c>
      <c r="D36" s="7">
        <v>1023</v>
      </c>
      <c r="E36" s="7" t="s">
        <v>12</v>
      </c>
      <c r="F36" s="7" t="s">
        <v>12</v>
      </c>
      <c r="G36" s="7" t="s">
        <v>12</v>
      </c>
      <c r="H36" s="7" t="s">
        <v>12</v>
      </c>
      <c r="I36" s="25" t="s">
        <v>12</v>
      </c>
      <c r="J36" s="7" t="s">
        <v>12</v>
      </c>
      <c r="K36" s="7" t="s">
        <v>12</v>
      </c>
      <c r="L36" s="26">
        <v>25</v>
      </c>
      <c r="M36" s="7">
        <v>0.04</v>
      </c>
      <c r="N36" s="24">
        <f t="shared" si="1"/>
        <v>625</v>
      </c>
      <c r="O36" s="7" t="s">
        <v>12</v>
      </c>
      <c r="P36" s="6" t="s">
        <v>57</v>
      </c>
    </row>
    <row r="37" spans="1:17" s="6" customFormat="1" x14ac:dyDescent="0.2">
      <c r="A37" s="17">
        <v>45949</v>
      </c>
      <c r="B37" s="20">
        <v>0.50208333333333333</v>
      </c>
      <c r="C37" s="7">
        <v>25</v>
      </c>
      <c r="D37" s="7">
        <v>1026</v>
      </c>
      <c r="E37" s="7">
        <v>8.1999999999999993</v>
      </c>
      <c r="F37" s="7">
        <v>9.3000000000000007</v>
      </c>
      <c r="G37" s="7">
        <v>420</v>
      </c>
      <c r="H37" s="7">
        <v>1455</v>
      </c>
      <c r="I37" s="25">
        <f t="shared" si="0"/>
        <v>3.4642857142857144</v>
      </c>
      <c r="J37" s="7" t="s">
        <v>12</v>
      </c>
      <c r="K37" s="7" t="s">
        <v>12</v>
      </c>
      <c r="L37" s="26">
        <v>35</v>
      </c>
      <c r="M37" s="7">
        <v>0.12</v>
      </c>
      <c r="N37" s="24">
        <f t="shared" si="1"/>
        <v>291.66666666666669</v>
      </c>
      <c r="O37" s="7" t="s">
        <v>12</v>
      </c>
    </row>
    <row r="38" spans="1:17" s="6" customFormat="1" x14ac:dyDescent="0.2">
      <c r="A38" s="17">
        <v>45951</v>
      </c>
      <c r="B38" s="20">
        <v>0.83333333333333337</v>
      </c>
      <c r="C38" s="7">
        <v>25</v>
      </c>
      <c r="D38" s="7" t="s">
        <v>12</v>
      </c>
      <c r="E38" s="7" t="s">
        <v>12</v>
      </c>
      <c r="F38" s="7" t="s">
        <v>12</v>
      </c>
      <c r="G38" s="7" t="s">
        <v>12</v>
      </c>
      <c r="H38" s="7" t="s">
        <v>12</v>
      </c>
      <c r="I38" s="25" t="s">
        <v>12</v>
      </c>
      <c r="J38" s="7" t="s">
        <v>12</v>
      </c>
      <c r="K38" s="7" t="s">
        <v>12</v>
      </c>
      <c r="L38" s="26">
        <f>5.4*4.43</f>
        <v>23.922000000000001</v>
      </c>
      <c r="M38" s="7">
        <v>0.12</v>
      </c>
      <c r="N38" s="24">
        <f t="shared" si="1"/>
        <v>199.35000000000002</v>
      </c>
      <c r="O38" s="7" t="s">
        <v>12</v>
      </c>
      <c r="P38" s="6" t="s">
        <v>58</v>
      </c>
      <c r="Q38" s="6" t="s">
        <v>62</v>
      </c>
    </row>
    <row r="39" spans="1:17" s="6" customFormat="1" x14ac:dyDescent="0.2">
      <c r="A39" s="17">
        <v>45955</v>
      </c>
      <c r="B39" s="20">
        <v>0.52777777777777779</v>
      </c>
      <c r="C39" s="7">
        <v>25</v>
      </c>
      <c r="D39" s="7">
        <v>1024.5</v>
      </c>
      <c r="E39" s="7" t="s">
        <v>12</v>
      </c>
      <c r="F39" s="7" t="s">
        <v>12</v>
      </c>
      <c r="G39" s="7" t="s">
        <v>12</v>
      </c>
      <c r="H39" s="7" t="s">
        <v>12</v>
      </c>
      <c r="I39" s="25" t="s">
        <v>12</v>
      </c>
      <c r="J39" s="7" t="s">
        <v>12</v>
      </c>
      <c r="K39" s="7" t="s">
        <v>12</v>
      </c>
      <c r="L39" s="26">
        <f>5.4*4.43</f>
        <v>23.922000000000001</v>
      </c>
      <c r="M39" s="7">
        <v>0.12</v>
      </c>
      <c r="N39" s="24">
        <f t="shared" si="1"/>
        <v>199.35000000000002</v>
      </c>
      <c r="O39" s="7" t="s">
        <v>12</v>
      </c>
      <c r="P39" s="6" t="s">
        <v>59</v>
      </c>
      <c r="Q39" s="6" t="s">
        <v>62</v>
      </c>
    </row>
    <row r="40" spans="1:17" s="6" customFormat="1" x14ac:dyDescent="0.2">
      <c r="A40" s="17">
        <v>45963</v>
      </c>
      <c r="B40" s="20">
        <v>0.77083333333333337</v>
      </c>
      <c r="C40" s="7">
        <v>25</v>
      </c>
      <c r="D40" s="7">
        <v>1025</v>
      </c>
      <c r="E40" s="7">
        <v>8.4</v>
      </c>
      <c r="F40" s="7">
        <v>8.6</v>
      </c>
      <c r="G40" s="7">
        <v>415</v>
      </c>
      <c r="H40" s="7">
        <v>1470</v>
      </c>
      <c r="I40" s="25">
        <f t="shared" ref="I40" si="2">H40/G40</f>
        <v>3.5421686746987953</v>
      </c>
      <c r="J40" s="7" t="s">
        <v>12</v>
      </c>
      <c r="K40" s="7" t="s">
        <v>12</v>
      </c>
      <c r="L40" s="26">
        <f>5.8*4.43</f>
        <v>25.693999999999999</v>
      </c>
      <c r="M40" s="7">
        <v>0.03</v>
      </c>
      <c r="N40" s="24">
        <f t="shared" si="1"/>
        <v>856.4666666666667</v>
      </c>
      <c r="O40" s="7" t="s">
        <v>12</v>
      </c>
      <c r="P40" s="6" t="s">
        <v>59</v>
      </c>
      <c r="Q40" s="6" t="s">
        <v>62</v>
      </c>
    </row>
    <row r="41" spans="1:17" s="6" customFormat="1" x14ac:dyDescent="0.2">
      <c r="A41" s="17">
        <v>45966</v>
      </c>
      <c r="B41" s="20">
        <v>0.60416666666666663</v>
      </c>
      <c r="C41" s="7">
        <v>25</v>
      </c>
      <c r="D41" s="7" t="s">
        <v>12</v>
      </c>
      <c r="E41" s="7" t="s">
        <v>12</v>
      </c>
      <c r="F41" s="7">
        <v>8.9</v>
      </c>
      <c r="G41" s="7" t="s">
        <v>12</v>
      </c>
      <c r="H41" s="7" t="s">
        <v>12</v>
      </c>
      <c r="I41" s="25" t="s">
        <v>12</v>
      </c>
      <c r="J41" s="7">
        <v>0</v>
      </c>
      <c r="K41" s="7" t="s">
        <v>12</v>
      </c>
      <c r="L41" s="26">
        <f>5*4.43</f>
        <v>22.15</v>
      </c>
      <c r="M41" s="7">
        <v>0.12</v>
      </c>
      <c r="N41" s="24">
        <f t="shared" si="1"/>
        <v>184.58333333333331</v>
      </c>
      <c r="O41" s="7" t="s">
        <v>12</v>
      </c>
      <c r="Q41" s="6" t="s">
        <v>62</v>
      </c>
    </row>
    <row r="42" spans="1:17" s="6" customFormat="1" x14ac:dyDescent="0.2">
      <c r="A42" s="17">
        <v>45970</v>
      </c>
      <c r="B42" s="20">
        <v>0.8125</v>
      </c>
      <c r="C42" s="7">
        <v>25</v>
      </c>
      <c r="D42" s="7" t="s">
        <v>12</v>
      </c>
      <c r="E42" s="7" t="s">
        <v>12</v>
      </c>
      <c r="F42" s="7">
        <v>8.6</v>
      </c>
      <c r="G42" s="7" t="s">
        <v>12</v>
      </c>
      <c r="H42" s="7" t="s">
        <v>12</v>
      </c>
      <c r="I42" s="25" t="s">
        <v>12</v>
      </c>
      <c r="J42" s="7" t="s">
        <v>12</v>
      </c>
      <c r="K42" s="7" t="s">
        <v>12</v>
      </c>
      <c r="L42" s="26">
        <f>4.2*4.43</f>
        <v>18.605999999999998</v>
      </c>
      <c r="M42" s="7">
        <v>0.14000000000000001</v>
      </c>
      <c r="N42" s="24">
        <f t="shared" si="1"/>
        <v>132.89999999999998</v>
      </c>
      <c r="O42" s="7" t="s">
        <v>12</v>
      </c>
      <c r="Q42" s="6" t="s">
        <v>62</v>
      </c>
    </row>
    <row r="43" spans="1:17" s="6" customFormat="1" x14ac:dyDescent="0.2">
      <c r="A43" s="17">
        <v>45978</v>
      </c>
      <c r="B43" s="20">
        <v>0.875</v>
      </c>
      <c r="C43" s="7">
        <v>25</v>
      </c>
      <c r="D43" s="7">
        <v>1026</v>
      </c>
      <c r="E43" s="7">
        <v>8.1999999999999993</v>
      </c>
      <c r="F43" s="7">
        <v>7.3</v>
      </c>
      <c r="G43" s="7" t="s">
        <v>12</v>
      </c>
      <c r="H43" s="7" t="s">
        <v>12</v>
      </c>
      <c r="I43" s="25" t="s">
        <v>12</v>
      </c>
      <c r="J43" s="7" t="s">
        <v>12</v>
      </c>
      <c r="K43" s="7" t="s">
        <v>12</v>
      </c>
      <c r="L43" s="26">
        <f>5*4.43</f>
        <v>22.15</v>
      </c>
      <c r="M43" s="7">
        <v>0.04</v>
      </c>
      <c r="N43" s="24">
        <f t="shared" si="1"/>
        <v>553.75</v>
      </c>
      <c r="O43" s="7" t="s">
        <v>12</v>
      </c>
      <c r="Q43" s="6" t="s">
        <v>62</v>
      </c>
    </row>
    <row r="44" spans="1:17" s="6" customFormat="1" x14ac:dyDescent="0.2">
      <c r="A44" s="17">
        <v>45983</v>
      </c>
      <c r="B44" s="20">
        <v>0.625</v>
      </c>
      <c r="C44" s="7">
        <v>25</v>
      </c>
      <c r="D44" s="7">
        <v>1028</v>
      </c>
      <c r="E44" s="7">
        <v>8.15</v>
      </c>
      <c r="F44" s="7">
        <v>8</v>
      </c>
      <c r="G44" s="7">
        <v>400</v>
      </c>
      <c r="H44" s="7">
        <v>1500</v>
      </c>
      <c r="I44" s="25">
        <f t="shared" ref="I44:I49" si="3">H44/G44</f>
        <v>3.75</v>
      </c>
      <c r="J44" s="7" t="s">
        <v>12</v>
      </c>
      <c r="K44" s="7" t="s">
        <v>12</v>
      </c>
      <c r="L44" s="26">
        <f>3.2*4.43</f>
        <v>14.176</v>
      </c>
      <c r="M44" s="7">
        <v>0.1</v>
      </c>
      <c r="N44" s="24">
        <f t="shared" si="1"/>
        <v>141.76</v>
      </c>
      <c r="O44" s="7">
        <v>0</v>
      </c>
      <c r="P44" s="6" t="s">
        <v>60</v>
      </c>
      <c r="Q44" s="6" t="s">
        <v>62</v>
      </c>
    </row>
    <row r="45" spans="1:17" s="6" customFormat="1" x14ac:dyDescent="0.2">
      <c r="A45" s="17">
        <v>45990</v>
      </c>
      <c r="B45" s="20">
        <v>0.54166666666666663</v>
      </c>
      <c r="C45" s="7">
        <v>25</v>
      </c>
      <c r="D45" s="7">
        <v>1026</v>
      </c>
      <c r="E45" s="7">
        <v>8.15</v>
      </c>
      <c r="F45" s="7">
        <v>7.7</v>
      </c>
      <c r="G45" s="7">
        <v>430</v>
      </c>
      <c r="H45" s="7">
        <v>1500</v>
      </c>
      <c r="I45" s="25">
        <f t="shared" si="3"/>
        <v>3.4883720930232558</v>
      </c>
      <c r="J45" s="7" t="s">
        <v>12</v>
      </c>
      <c r="K45" s="7" t="s">
        <v>12</v>
      </c>
      <c r="L45" s="26">
        <f>4.5*4.43</f>
        <v>19.934999999999999</v>
      </c>
      <c r="M45" s="7">
        <v>0.05</v>
      </c>
      <c r="N45" s="24">
        <f t="shared" ref="N45" si="4">L45/M45</f>
        <v>398.69999999999993</v>
      </c>
      <c r="O45" s="7" t="s">
        <v>12</v>
      </c>
      <c r="Q45" s="6" t="s">
        <v>62</v>
      </c>
    </row>
    <row r="46" spans="1:17" s="6" customFormat="1" x14ac:dyDescent="0.2">
      <c r="A46" s="17">
        <v>45998</v>
      </c>
      <c r="B46" s="20">
        <v>0.79166666666666663</v>
      </c>
      <c r="C46" s="7">
        <v>25</v>
      </c>
      <c r="D46" s="7">
        <v>1026</v>
      </c>
      <c r="E46" s="7">
        <v>8.15</v>
      </c>
      <c r="F46" s="7">
        <v>7</v>
      </c>
      <c r="G46" s="7">
        <v>430</v>
      </c>
      <c r="H46" s="7">
        <v>1500</v>
      </c>
      <c r="I46" s="25">
        <f t="shared" si="3"/>
        <v>3.4883720930232558</v>
      </c>
      <c r="J46" s="7" t="s">
        <v>12</v>
      </c>
      <c r="K46" s="7" t="s">
        <v>12</v>
      </c>
      <c r="L46" s="26">
        <f>3.6*4.43</f>
        <v>15.947999999999999</v>
      </c>
      <c r="M46" s="7">
        <v>0.15</v>
      </c>
      <c r="N46" s="24">
        <f t="shared" ref="N46:N47" si="5">L46/M46</f>
        <v>106.32</v>
      </c>
      <c r="O46" s="7" t="s">
        <v>12</v>
      </c>
      <c r="Q46" s="6" t="s">
        <v>62</v>
      </c>
    </row>
    <row r="47" spans="1:17" s="6" customFormat="1" x14ac:dyDescent="0.2">
      <c r="A47" s="17">
        <v>46005</v>
      </c>
      <c r="B47" s="20">
        <v>0.70833333333333337</v>
      </c>
      <c r="C47" s="7">
        <v>25</v>
      </c>
      <c r="D47" s="7">
        <v>1026</v>
      </c>
      <c r="E47" s="7">
        <v>8.15</v>
      </c>
      <c r="F47" s="7">
        <v>6.7</v>
      </c>
      <c r="G47" s="7">
        <v>420</v>
      </c>
      <c r="H47" s="7">
        <v>1500</v>
      </c>
      <c r="I47" s="25">
        <f t="shared" si="3"/>
        <v>3.5714285714285716</v>
      </c>
      <c r="J47" s="7" t="s">
        <v>12</v>
      </c>
      <c r="K47" s="7" t="s">
        <v>12</v>
      </c>
      <c r="L47" s="26">
        <f>2.5*4.43</f>
        <v>11.074999999999999</v>
      </c>
      <c r="M47" s="7">
        <v>0.06</v>
      </c>
      <c r="N47" s="24">
        <f t="shared" si="5"/>
        <v>184.58333333333331</v>
      </c>
      <c r="O47" s="7" t="s">
        <v>12</v>
      </c>
      <c r="Q47" s="6" t="s">
        <v>62</v>
      </c>
    </row>
    <row r="48" spans="1:17" s="6" customFormat="1" x14ac:dyDescent="0.2">
      <c r="A48" s="17">
        <v>45661</v>
      </c>
      <c r="B48" s="20">
        <v>0.91666666666666663</v>
      </c>
      <c r="C48" s="7">
        <v>25</v>
      </c>
      <c r="D48" s="7">
        <v>1026</v>
      </c>
      <c r="E48" s="7" t="s">
        <v>12</v>
      </c>
      <c r="F48" s="7">
        <v>6.7</v>
      </c>
      <c r="G48" s="7">
        <v>390</v>
      </c>
      <c r="H48" s="7">
        <v>1500</v>
      </c>
      <c r="I48" s="25">
        <f t="shared" si="3"/>
        <v>3.8461538461538463</v>
      </c>
      <c r="J48" s="7" t="s">
        <v>12</v>
      </c>
      <c r="K48" s="7" t="s">
        <v>12</v>
      </c>
      <c r="L48" s="26">
        <f>2.1*4.43</f>
        <v>9.302999999999999</v>
      </c>
      <c r="M48" s="7">
        <v>0.05</v>
      </c>
      <c r="N48" s="24">
        <f t="shared" ref="N48" si="6">L48/M48</f>
        <v>186.05999999999997</v>
      </c>
      <c r="O48" s="7" t="s">
        <v>12</v>
      </c>
      <c r="P48" s="6" t="s">
        <v>61</v>
      </c>
      <c r="Q48" s="6" t="s">
        <v>62</v>
      </c>
    </row>
    <row r="49" spans="1:15" s="6" customFormat="1" x14ac:dyDescent="0.2">
      <c r="A49" s="17">
        <v>45682</v>
      </c>
      <c r="B49" s="20">
        <v>0.83333333333333337</v>
      </c>
      <c r="C49" s="7">
        <v>25</v>
      </c>
      <c r="D49" s="7">
        <v>1026</v>
      </c>
      <c r="E49" s="7" t="s">
        <v>12</v>
      </c>
      <c r="F49" s="7">
        <v>6.7</v>
      </c>
      <c r="G49" s="7">
        <v>415</v>
      </c>
      <c r="H49" s="7">
        <v>1500</v>
      </c>
      <c r="I49" s="25">
        <f t="shared" si="3"/>
        <v>3.6144578313253013</v>
      </c>
      <c r="J49" s="7" t="s">
        <v>12</v>
      </c>
      <c r="K49" s="7" t="s">
        <v>12</v>
      </c>
      <c r="L49" s="26">
        <f>1.5*4.43</f>
        <v>6.6449999999999996</v>
      </c>
      <c r="M49" s="7">
        <v>0.03</v>
      </c>
      <c r="N49" s="24">
        <f t="shared" ref="N49" si="7">L49/M49</f>
        <v>221.5</v>
      </c>
      <c r="O49" s="7" t="s">
        <v>12</v>
      </c>
    </row>
    <row r="50" spans="1:15" s="6" customFormat="1" x14ac:dyDescent="0.2">
      <c r="A50" s="17"/>
      <c r="B50" s="20"/>
      <c r="C50" s="7" t="s">
        <v>12</v>
      </c>
      <c r="D50" s="7" t="s">
        <v>12</v>
      </c>
      <c r="E50" s="7" t="s">
        <v>12</v>
      </c>
      <c r="F50" s="7" t="s">
        <v>12</v>
      </c>
      <c r="G50" s="7" t="s">
        <v>12</v>
      </c>
      <c r="H50" s="7" t="s">
        <v>12</v>
      </c>
      <c r="I50" s="25" t="s">
        <v>12</v>
      </c>
      <c r="J50" s="7" t="s">
        <v>12</v>
      </c>
      <c r="K50" s="7" t="s">
        <v>12</v>
      </c>
      <c r="L50" s="7" t="s">
        <v>12</v>
      </c>
      <c r="M50" s="7" t="s">
        <v>12</v>
      </c>
      <c r="N50" s="24" t="s">
        <v>12</v>
      </c>
      <c r="O50" s="7" t="s">
        <v>12</v>
      </c>
    </row>
    <row r="51" spans="1:15" s="6" customFormat="1" x14ac:dyDescent="0.2">
      <c r="A51" s="17"/>
      <c r="B51" s="20"/>
      <c r="C51" s="7" t="s">
        <v>12</v>
      </c>
      <c r="D51" s="7" t="s">
        <v>12</v>
      </c>
      <c r="E51" s="7" t="s">
        <v>12</v>
      </c>
      <c r="F51" s="7" t="s">
        <v>12</v>
      </c>
      <c r="G51" s="7" t="s">
        <v>12</v>
      </c>
      <c r="H51" s="7" t="s">
        <v>12</v>
      </c>
      <c r="I51" s="25" t="s">
        <v>12</v>
      </c>
      <c r="J51" s="7" t="s">
        <v>12</v>
      </c>
      <c r="K51" s="7" t="s">
        <v>12</v>
      </c>
      <c r="L51" s="7" t="s">
        <v>12</v>
      </c>
      <c r="M51" s="7" t="s">
        <v>12</v>
      </c>
      <c r="N51" s="24" t="s">
        <v>12</v>
      </c>
      <c r="O51" s="7" t="s">
        <v>12</v>
      </c>
    </row>
    <row r="52" spans="1:15" s="6" customFormat="1" x14ac:dyDescent="0.2">
      <c r="A52" s="17"/>
      <c r="B52" s="20"/>
      <c r="C52" s="7" t="s">
        <v>12</v>
      </c>
      <c r="D52" s="7" t="s">
        <v>12</v>
      </c>
      <c r="E52" s="7" t="s">
        <v>12</v>
      </c>
      <c r="F52" s="7" t="s">
        <v>12</v>
      </c>
      <c r="G52" s="7" t="s">
        <v>12</v>
      </c>
      <c r="H52" s="7" t="s">
        <v>12</v>
      </c>
      <c r="I52" s="25" t="s">
        <v>12</v>
      </c>
      <c r="J52" s="7" t="s">
        <v>12</v>
      </c>
      <c r="K52" s="7" t="s">
        <v>12</v>
      </c>
      <c r="L52" s="7" t="s">
        <v>12</v>
      </c>
      <c r="M52" s="7" t="s">
        <v>12</v>
      </c>
      <c r="N52" s="24" t="s">
        <v>12</v>
      </c>
      <c r="O52" s="7" t="s">
        <v>12</v>
      </c>
    </row>
    <row r="53" spans="1:15" s="6" customFormat="1" x14ac:dyDescent="0.2">
      <c r="A53" s="17"/>
      <c r="B53" s="20"/>
      <c r="C53" s="7" t="s">
        <v>12</v>
      </c>
      <c r="D53" s="7" t="s">
        <v>12</v>
      </c>
      <c r="E53" s="7" t="s">
        <v>12</v>
      </c>
      <c r="F53" s="7" t="s">
        <v>12</v>
      </c>
      <c r="G53" s="7" t="s">
        <v>12</v>
      </c>
      <c r="H53" s="7" t="s">
        <v>12</v>
      </c>
      <c r="I53" s="25" t="s">
        <v>12</v>
      </c>
      <c r="J53" s="7" t="s">
        <v>12</v>
      </c>
      <c r="K53" s="7" t="s">
        <v>12</v>
      </c>
      <c r="L53" s="7" t="s">
        <v>12</v>
      </c>
      <c r="M53" s="7" t="s">
        <v>12</v>
      </c>
      <c r="N53" s="24" t="s">
        <v>12</v>
      </c>
      <c r="O53" s="7" t="s">
        <v>12</v>
      </c>
    </row>
    <row r="54" spans="1:15" s="6" customFormat="1" x14ac:dyDescent="0.2">
      <c r="A54" s="17"/>
      <c r="B54" s="20"/>
      <c r="C54" s="7" t="s">
        <v>12</v>
      </c>
      <c r="D54" s="7" t="s">
        <v>12</v>
      </c>
      <c r="E54" s="7" t="s">
        <v>12</v>
      </c>
      <c r="F54" s="7" t="s">
        <v>12</v>
      </c>
      <c r="G54" s="7" t="s">
        <v>12</v>
      </c>
      <c r="H54" s="7" t="s">
        <v>12</v>
      </c>
      <c r="I54" s="25" t="s">
        <v>12</v>
      </c>
      <c r="J54" s="7" t="s">
        <v>12</v>
      </c>
      <c r="K54" s="7" t="s">
        <v>12</v>
      </c>
      <c r="L54" s="7" t="s">
        <v>12</v>
      </c>
      <c r="M54" s="7" t="s">
        <v>12</v>
      </c>
      <c r="N54" s="24" t="s">
        <v>12</v>
      </c>
      <c r="O54" s="7" t="s">
        <v>12</v>
      </c>
    </row>
    <row r="55" spans="1:15" s="6" customFormat="1" x14ac:dyDescent="0.2">
      <c r="A55" s="17"/>
      <c r="B55" s="20"/>
      <c r="C55" s="7" t="s">
        <v>12</v>
      </c>
      <c r="D55" s="7" t="s">
        <v>12</v>
      </c>
      <c r="E55" s="7" t="s">
        <v>12</v>
      </c>
      <c r="F55" s="7" t="s">
        <v>12</v>
      </c>
      <c r="G55" s="7" t="s">
        <v>12</v>
      </c>
      <c r="H55" s="7" t="s">
        <v>12</v>
      </c>
      <c r="I55" s="25" t="s">
        <v>12</v>
      </c>
      <c r="J55" s="7" t="s">
        <v>12</v>
      </c>
      <c r="K55" s="7" t="s">
        <v>12</v>
      </c>
      <c r="L55" s="7" t="s">
        <v>12</v>
      </c>
      <c r="M55" s="7" t="s">
        <v>12</v>
      </c>
      <c r="N55" s="24" t="s">
        <v>12</v>
      </c>
      <c r="O55" s="7" t="s">
        <v>12</v>
      </c>
    </row>
    <row r="56" spans="1:15" s="6" customFormat="1" x14ac:dyDescent="0.2">
      <c r="A56" s="17"/>
      <c r="B56" s="20"/>
      <c r="C56" s="7" t="s">
        <v>12</v>
      </c>
      <c r="D56" s="7" t="s">
        <v>12</v>
      </c>
      <c r="E56" s="7" t="s">
        <v>12</v>
      </c>
      <c r="F56" s="7" t="s">
        <v>12</v>
      </c>
      <c r="G56" s="7" t="s">
        <v>12</v>
      </c>
      <c r="H56" s="7" t="s">
        <v>12</v>
      </c>
      <c r="I56" s="25" t="s">
        <v>12</v>
      </c>
      <c r="J56" s="7" t="s">
        <v>12</v>
      </c>
      <c r="K56" s="7" t="s">
        <v>12</v>
      </c>
      <c r="L56" s="7" t="s">
        <v>12</v>
      </c>
      <c r="M56" s="7" t="s">
        <v>12</v>
      </c>
      <c r="N56" s="24" t="s">
        <v>12</v>
      </c>
      <c r="O56" s="7" t="s">
        <v>12</v>
      </c>
    </row>
    <row r="57" spans="1:15" s="6" customFormat="1" x14ac:dyDescent="0.2">
      <c r="A57" s="17"/>
      <c r="B57" s="20"/>
      <c r="C57" s="7" t="s">
        <v>12</v>
      </c>
      <c r="D57" s="7" t="s">
        <v>12</v>
      </c>
      <c r="E57" s="7" t="s">
        <v>12</v>
      </c>
      <c r="F57" s="7" t="s">
        <v>12</v>
      </c>
      <c r="G57" s="7" t="s">
        <v>12</v>
      </c>
      <c r="H57" s="7" t="s">
        <v>12</v>
      </c>
      <c r="I57" s="25" t="s">
        <v>12</v>
      </c>
      <c r="J57" s="7" t="s">
        <v>12</v>
      </c>
      <c r="K57" s="7" t="s">
        <v>12</v>
      </c>
      <c r="L57" s="7" t="s">
        <v>12</v>
      </c>
      <c r="M57" s="7" t="s">
        <v>12</v>
      </c>
      <c r="N57" s="24" t="s">
        <v>12</v>
      </c>
      <c r="O57" s="7" t="s">
        <v>12</v>
      </c>
    </row>
    <row r="58" spans="1:15" s="6" customFormat="1" x14ac:dyDescent="0.2">
      <c r="A58" s="17"/>
      <c r="B58" s="20"/>
      <c r="C58" s="7" t="s">
        <v>12</v>
      </c>
      <c r="D58" s="7" t="s">
        <v>12</v>
      </c>
      <c r="E58" s="7" t="s">
        <v>12</v>
      </c>
      <c r="F58" s="7" t="s">
        <v>12</v>
      </c>
      <c r="G58" s="7" t="s">
        <v>12</v>
      </c>
      <c r="H58" s="7" t="s">
        <v>12</v>
      </c>
      <c r="I58" s="25" t="s">
        <v>12</v>
      </c>
      <c r="J58" s="7" t="s">
        <v>12</v>
      </c>
      <c r="K58" s="7" t="s">
        <v>12</v>
      </c>
      <c r="L58" s="7" t="s">
        <v>12</v>
      </c>
      <c r="M58" s="7" t="s">
        <v>12</v>
      </c>
      <c r="N58" s="24" t="s">
        <v>12</v>
      </c>
      <c r="O58" s="7" t="s">
        <v>12</v>
      </c>
    </row>
    <row r="59" spans="1:15" s="6" customFormat="1" x14ac:dyDescent="0.2">
      <c r="A59" s="17"/>
      <c r="B59" s="20"/>
      <c r="C59" s="7" t="s">
        <v>12</v>
      </c>
      <c r="D59" s="7" t="s">
        <v>12</v>
      </c>
      <c r="E59" s="7" t="s">
        <v>12</v>
      </c>
      <c r="F59" s="7" t="s">
        <v>12</v>
      </c>
      <c r="G59" s="7" t="s">
        <v>12</v>
      </c>
      <c r="H59" s="7" t="s">
        <v>12</v>
      </c>
      <c r="I59" s="25" t="s">
        <v>12</v>
      </c>
      <c r="J59" s="7" t="s">
        <v>12</v>
      </c>
      <c r="K59" s="7" t="s">
        <v>12</v>
      </c>
      <c r="L59" s="7" t="s">
        <v>12</v>
      </c>
      <c r="M59" s="7" t="s">
        <v>12</v>
      </c>
      <c r="N59" s="24" t="s">
        <v>12</v>
      </c>
      <c r="O59" s="7" t="s">
        <v>12</v>
      </c>
    </row>
    <row r="60" spans="1:15" s="6" customFormat="1" x14ac:dyDescent="0.2">
      <c r="A60" s="17"/>
      <c r="B60" s="20"/>
      <c r="C60" s="7" t="s">
        <v>12</v>
      </c>
      <c r="D60" s="7" t="s">
        <v>12</v>
      </c>
      <c r="E60" s="7" t="s">
        <v>12</v>
      </c>
      <c r="F60" s="7" t="s">
        <v>12</v>
      </c>
      <c r="G60" s="7" t="s">
        <v>12</v>
      </c>
      <c r="H60" s="7" t="s">
        <v>12</v>
      </c>
      <c r="I60" s="25" t="s">
        <v>12</v>
      </c>
      <c r="J60" s="7" t="s">
        <v>12</v>
      </c>
      <c r="K60" s="7" t="s">
        <v>12</v>
      </c>
      <c r="L60" s="7" t="s">
        <v>12</v>
      </c>
      <c r="M60" s="7" t="s">
        <v>12</v>
      </c>
      <c r="N60" s="24" t="s">
        <v>12</v>
      </c>
      <c r="O60" s="7" t="s">
        <v>12</v>
      </c>
    </row>
    <row r="61" spans="1:15" s="6" customFormat="1" x14ac:dyDescent="0.2">
      <c r="A61" s="17"/>
      <c r="B61" s="20"/>
      <c r="C61" s="7" t="s">
        <v>12</v>
      </c>
      <c r="D61" s="7" t="s">
        <v>12</v>
      </c>
      <c r="E61" s="7" t="s">
        <v>12</v>
      </c>
      <c r="F61" s="7" t="s">
        <v>12</v>
      </c>
      <c r="G61" s="7" t="s">
        <v>12</v>
      </c>
      <c r="H61" s="7" t="s">
        <v>12</v>
      </c>
      <c r="I61" s="25" t="s">
        <v>12</v>
      </c>
      <c r="J61" s="7" t="s">
        <v>12</v>
      </c>
      <c r="K61" s="7" t="s">
        <v>12</v>
      </c>
      <c r="L61" s="7" t="s">
        <v>12</v>
      </c>
      <c r="M61" s="7" t="s">
        <v>12</v>
      </c>
      <c r="N61" s="24" t="s">
        <v>12</v>
      </c>
      <c r="O61" s="7" t="s">
        <v>12</v>
      </c>
    </row>
    <row r="62" spans="1:15" s="6" customFormat="1" x14ac:dyDescent="0.2">
      <c r="A62" s="17"/>
      <c r="B62" s="20"/>
      <c r="C62" s="7" t="s">
        <v>12</v>
      </c>
      <c r="D62" s="7" t="s">
        <v>12</v>
      </c>
      <c r="E62" s="7" t="s">
        <v>12</v>
      </c>
      <c r="F62" s="7" t="s">
        <v>12</v>
      </c>
      <c r="G62" s="7" t="s">
        <v>12</v>
      </c>
      <c r="H62" s="7" t="s">
        <v>12</v>
      </c>
      <c r="I62" s="25" t="s">
        <v>12</v>
      </c>
      <c r="J62" s="7" t="s">
        <v>12</v>
      </c>
      <c r="K62" s="7" t="s">
        <v>12</v>
      </c>
      <c r="L62" s="7" t="s">
        <v>12</v>
      </c>
      <c r="M62" s="7" t="s">
        <v>12</v>
      </c>
      <c r="N62" s="24" t="s">
        <v>12</v>
      </c>
      <c r="O62" s="7" t="s">
        <v>12</v>
      </c>
    </row>
    <row r="63" spans="1:15" s="6" customFormat="1" x14ac:dyDescent="0.2">
      <c r="A63" s="17"/>
      <c r="B63" s="20"/>
      <c r="C63" s="7" t="s">
        <v>12</v>
      </c>
      <c r="D63" s="7" t="s">
        <v>12</v>
      </c>
      <c r="E63" s="7" t="s">
        <v>12</v>
      </c>
      <c r="F63" s="7" t="s">
        <v>12</v>
      </c>
      <c r="G63" s="7" t="s">
        <v>12</v>
      </c>
      <c r="H63" s="7" t="s">
        <v>12</v>
      </c>
      <c r="I63" s="25" t="s">
        <v>12</v>
      </c>
      <c r="J63" s="7" t="s">
        <v>12</v>
      </c>
      <c r="K63" s="7" t="s">
        <v>12</v>
      </c>
      <c r="L63" s="7" t="s">
        <v>12</v>
      </c>
      <c r="M63" s="7" t="s">
        <v>12</v>
      </c>
      <c r="N63" s="24" t="s">
        <v>12</v>
      </c>
      <c r="O63" s="7" t="s">
        <v>12</v>
      </c>
    </row>
    <row r="64" spans="1:15" s="6" customFormat="1" x14ac:dyDescent="0.2">
      <c r="A64" s="17"/>
      <c r="B64" s="20"/>
      <c r="C64" s="7" t="s">
        <v>12</v>
      </c>
      <c r="D64" s="7" t="s">
        <v>12</v>
      </c>
      <c r="E64" s="7" t="s">
        <v>12</v>
      </c>
      <c r="F64" s="7" t="s">
        <v>12</v>
      </c>
      <c r="G64" s="7" t="s">
        <v>12</v>
      </c>
      <c r="H64" s="7" t="s">
        <v>12</v>
      </c>
      <c r="I64" s="25" t="s">
        <v>12</v>
      </c>
      <c r="J64" s="7" t="s">
        <v>12</v>
      </c>
      <c r="K64" s="7" t="s">
        <v>12</v>
      </c>
      <c r="L64" s="7" t="s">
        <v>12</v>
      </c>
      <c r="M64" s="7" t="s">
        <v>12</v>
      </c>
      <c r="N64" s="24" t="s">
        <v>12</v>
      </c>
      <c r="O64" s="7" t="s">
        <v>12</v>
      </c>
    </row>
    <row r="65" spans="1:15" s="6" customFormat="1" x14ac:dyDescent="0.2">
      <c r="A65" s="17"/>
      <c r="B65" s="20"/>
      <c r="C65" s="7" t="s">
        <v>12</v>
      </c>
      <c r="D65" s="7" t="s">
        <v>12</v>
      </c>
      <c r="E65" s="7" t="s">
        <v>12</v>
      </c>
      <c r="F65" s="7" t="s">
        <v>12</v>
      </c>
      <c r="G65" s="7" t="s">
        <v>12</v>
      </c>
      <c r="H65" s="7" t="s">
        <v>12</v>
      </c>
      <c r="I65" s="25" t="s">
        <v>12</v>
      </c>
      <c r="J65" s="7" t="s">
        <v>12</v>
      </c>
      <c r="K65" s="7" t="s">
        <v>12</v>
      </c>
      <c r="L65" s="7" t="s">
        <v>12</v>
      </c>
      <c r="M65" s="7" t="s">
        <v>12</v>
      </c>
      <c r="N65" s="24" t="s">
        <v>12</v>
      </c>
      <c r="O65" s="7" t="s">
        <v>12</v>
      </c>
    </row>
    <row r="66" spans="1:15" s="6" customFormat="1" x14ac:dyDescent="0.2">
      <c r="A66" s="17"/>
      <c r="B66" s="20"/>
      <c r="C66" s="7" t="s">
        <v>12</v>
      </c>
      <c r="D66" s="7" t="s">
        <v>12</v>
      </c>
      <c r="E66" s="7" t="s">
        <v>12</v>
      </c>
      <c r="F66" s="7" t="s">
        <v>12</v>
      </c>
      <c r="G66" s="7" t="s">
        <v>12</v>
      </c>
      <c r="H66" s="7" t="s">
        <v>12</v>
      </c>
      <c r="I66" s="25" t="s">
        <v>12</v>
      </c>
      <c r="J66" s="7" t="s">
        <v>12</v>
      </c>
      <c r="K66" s="7" t="s">
        <v>12</v>
      </c>
      <c r="L66" s="7" t="s">
        <v>12</v>
      </c>
      <c r="M66" s="7" t="s">
        <v>12</v>
      </c>
      <c r="N66" s="24" t="s">
        <v>12</v>
      </c>
      <c r="O66" s="7" t="s">
        <v>12</v>
      </c>
    </row>
    <row r="67" spans="1:15" s="6" customFormat="1" x14ac:dyDescent="0.2">
      <c r="A67" s="17"/>
      <c r="B67" s="20"/>
      <c r="C67" s="7" t="s">
        <v>12</v>
      </c>
      <c r="D67" s="7" t="s">
        <v>12</v>
      </c>
      <c r="E67" s="7" t="s">
        <v>12</v>
      </c>
      <c r="F67" s="7" t="s">
        <v>12</v>
      </c>
      <c r="G67" s="7" t="s">
        <v>12</v>
      </c>
      <c r="H67" s="7" t="s">
        <v>12</v>
      </c>
      <c r="I67" s="25" t="s">
        <v>12</v>
      </c>
      <c r="J67" s="7" t="s">
        <v>12</v>
      </c>
      <c r="K67" s="7" t="s">
        <v>12</v>
      </c>
      <c r="L67" s="7" t="s">
        <v>12</v>
      </c>
      <c r="M67" s="7" t="s">
        <v>12</v>
      </c>
      <c r="N67" s="24" t="s">
        <v>12</v>
      </c>
      <c r="O67" s="7" t="s">
        <v>12</v>
      </c>
    </row>
    <row r="68" spans="1:15" s="6" customFormat="1" x14ac:dyDescent="0.2">
      <c r="A68" s="17"/>
      <c r="B68" s="20"/>
      <c r="C68" s="7" t="s">
        <v>12</v>
      </c>
      <c r="D68" s="7" t="s">
        <v>12</v>
      </c>
      <c r="E68" s="7" t="s">
        <v>12</v>
      </c>
      <c r="F68" s="7" t="s">
        <v>12</v>
      </c>
      <c r="G68" s="7" t="s">
        <v>12</v>
      </c>
      <c r="H68" s="7" t="s">
        <v>12</v>
      </c>
      <c r="I68" s="25" t="s">
        <v>12</v>
      </c>
      <c r="J68" s="7" t="s">
        <v>12</v>
      </c>
      <c r="K68" s="7" t="s">
        <v>12</v>
      </c>
      <c r="L68" s="7" t="s">
        <v>12</v>
      </c>
      <c r="M68" s="7" t="s">
        <v>12</v>
      </c>
      <c r="N68" s="24" t="s">
        <v>12</v>
      </c>
      <c r="O68" s="7" t="s">
        <v>12</v>
      </c>
    </row>
    <row r="69" spans="1:15" s="6" customFormat="1" x14ac:dyDescent="0.2">
      <c r="A69" s="17"/>
      <c r="B69" s="20"/>
      <c r="C69" s="7" t="s">
        <v>12</v>
      </c>
      <c r="D69" s="7" t="s">
        <v>12</v>
      </c>
      <c r="E69" s="7" t="s">
        <v>12</v>
      </c>
      <c r="F69" s="7" t="s">
        <v>12</v>
      </c>
      <c r="G69" s="7" t="s">
        <v>12</v>
      </c>
      <c r="H69" s="7" t="s">
        <v>12</v>
      </c>
      <c r="I69" s="25" t="s">
        <v>12</v>
      </c>
      <c r="J69" s="7" t="s">
        <v>12</v>
      </c>
      <c r="K69" s="7" t="s">
        <v>12</v>
      </c>
      <c r="L69" s="7" t="s">
        <v>12</v>
      </c>
      <c r="M69" s="7" t="s">
        <v>12</v>
      </c>
      <c r="N69" s="24" t="s">
        <v>12</v>
      </c>
      <c r="O69" s="7" t="s">
        <v>12</v>
      </c>
    </row>
    <row r="70" spans="1:15" s="6" customFormat="1" x14ac:dyDescent="0.2">
      <c r="A70" s="17"/>
      <c r="B70" s="20"/>
      <c r="C70" s="7" t="s">
        <v>12</v>
      </c>
      <c r="D70" s="7" t="s">
        <v>12</v>
      </c>
      <c r="E70" s="7" t="s">
        <v>12</v>
      </c>
      <c r="F70" s="7" t="s">
        <v>12</v>
      </c>
      <c r="G70" s="7" t="s">
        <v>12</v>
      </c>
      <c r="H70" s="7" t="s">
        <v>12</v>
      </c>
      <c r="I70" s="25" t="s">
        <v>12</v>
      </c>
      <c r="J70" s="7" t="s">
        <v>12</v>
      </c>
      <c r="K70" s="7" t="s">
        <v>12</v>
      </c>
      <c r="L70" s="7" t="s">
        <v>12</v>
      </c>
      <c r="M70" s="7" t="s">
        <v>12</v>
      </c>
      <c r="N70" s="24" t="s">
        <v>12</v>
      </c>
      <c r="O70" s="7" t="s">
        <v>12</v>
      </c>
    </row>
    <row r="71" spans="1:15" s="6" customFormat="1" x14ac:dyDescent="0.2">
      <c r="A71" s="17"/>
      <c r="B71" s="20"/>
      <c r="C71" s="7" t="s">
        <v>12</v>
      </c>
      <c r="D71" s="7" t="s">
        <v>12</v>
      </c>
      <c r="E71" s="7" t="s">
        <v>12</v>
      </c>
      <c r="F71" s="7" t="s">
        <v>12</v>
      </c>
      <c r="G71" s="7" t="s">
        <v>12</v>
      </c>
      <c r="H71" s="7" t="s">
        <v>12</v>
      </c>
      <c r="I71" s="25" t="s">
        <v>12</v>
      </c>
      <c r="J71" s="7" t="s">
        <v>12</v>
      </c>
      <c r="K71" s="7" t="s">
        <v>12</v>
      </c>
      <c r="L71" s="7" t="s">
        <v>12</v>
      </c>
      <c r="M71" s="7" t="s">
        <v>12</v>
      </c>
      <c r="N71" s="24" t="s">
        <v>12</v>
      </c>
      <c r="O71" s="7" t="s">
        <v>12</v>
      </c>
    </row>
    <row r="72" spans="1:15" s="6" customFormat="1" x14ac:dyDescent="0.2">
      <c r="A72" s="17"/>
      <c r="B72" s="20"/>
      <c r="C72" s="7" t="s">
        <v>12</v>
      </c>
      <c r="D72" s="7" t="s">
        <v>12</v>
      </c>
      <c r="E72" s="7" t="s">
        <v>12</v>
      </c>
      <c r="F72" s="7" t="s">
        <v>12</v>
      </c>
      <c r="G72" s="7" t="s">
        <v>12</v>
      </c>
      <c r="H72" s="7" t="s">
        <v>12</v>
      </c>
      <c r="I72" s="25" t="s">
        <v>12</v>
      </c>
      <c r="J72" s="7" t="s">
        <v>12</v>
      </c>
      <c r="K72" s="7" t="s">
        <v>12</v>
      </c>
      <c r="L72" s="7" t="s">
        <v>12</v>
      </c>
      <c r="M72" s="7" t="s">
        <v>12</v>
      </c>
      <c r="N72" s="24" t="s">
        <v>12</v>
      </c>
      <c r="O72" s="7" t="s">
        <v>12</v>
      </c>
    </row>
    <row r="73" spans="1:15" s="6" customFormat="1" x14ac:dyDescent="0.2">
      <c r="A73" s="17"/>
      <c r="B73" s="20"/>
      <c r="C73" s="7" t="s">
        <v>12</v>
      </c>
      <c r="D73" s="7" t="s">
        <v>12</v>
      </c>
      <c r="E73" s="7" t="s">
        <v>12</v>
      </c>
      <c r="F73" s="7" t="s">
        <v>12</v>
      </c>
      <c r="G73" s="7" t="s">
        <v>12</v>
      </c>
      <c r="H73" s="7" t="s">
        <v>12</v>
      </c>
      <c r="I73" s="25" t="s">
        <v>12</v>
      </c>
      <c r="J73" s="7" t="s">
        <v>12</v>
      </c>
      <c r="K73" s="7" t="s">
        <v>12</v>
      </c>
      <c r="L73" s="7" t="s">
        <v>12</v>
      </c>
      <c r="M73" s="7" t="s">
        <v>12</v>
      </c>
      <c r="N73" s="24" t="s">
        <v>12</v>
      </c>
      <c r="O73" s="7" t="s">
        <v>12</v>
      </c>
    </row>
    <row r="74" spans="1:15" s="6" customFormat="1" x14ac:dyDescent="0.2">
      <c r="A74" s="17"/>
      <c r="B74" s="20"/>
      <c r="C74" s="7" t="s">
        <v>12</v>
      </c>
      <c r="D74" s="7" t="s">
        <v>12</v>
      </c>
      <c r="E74" s="7" t="s">
        <v>12</v>
      </c>
      <c r="F74" s="7" t="s">
        <v>12</v>
      </c>
      <c r="G74" s="7" t="s">
        <v>12</v>
      </c>
      <c r="H74" s="7" t="s">
        <v>12</v>
      </c>
      <c r="I74" s="25" t="s">
        <v>12</v>
      </c>
      <c r="J74" s="7" t="s">
        <v>12</v>
      </c>
      <c r="K74" s="7" t="s">
        <v>12</v>
      </c>
      <c r="L74" s="7" t="s">
        <v>12</v>
      </c>
      <c r="M74" s="7" t="s">
        <v>12</v>
      </c>
      <c r="N74" s="24" t="s">
        <v>12</v>
      </c>
      <c r="O74" s="7" t="s">
        <v>12</v>
      </c>
    </row>
    <row r="75" spans="1:15" s="6" customFormat="1" x14ac:dyDescent="0.2">
      <c r="A75" s="17"/>
      <c r="B75" s="20"/>
      <c r="C75" s="7" t="s">
        <v>12</v>
      </c>
      <c r="D75" s="7" t="s">
        <v>12</v>
      </c>
      <c r="E75" s="7" t="s">
        <v>12</v>
      </c>
      <c r="F75" s="7" t="s">
        <v>12</v>
      </c>
      <c r="G75" s="7" t="s">
        <v>12</v>
      </c>
      <c r="H75" s="7" t="s">
        <v>12</v>
      </c>
      <c r="I75" s="25" t="s">
        <v>12</v>
      </c>
      <c r="J75" s="7" t="s">
        <v>12</v>
      </c>
      <c r="K75" s="7" t="s">
        <v>12</v>
      </c>
      <c r="L75" s="7" t="s">
        <v>12</v>
      </c>
      <c r="M75" s="7" t="s">
        <v>12</v>
      </c>
      <c r="N75" s="24" t="s">
        <v>12</v>
      </c>
      <c r="O75" s="7" t="s">
        <v>12</v>
      </c>
    </row>
    <row r="76" spans="1:15" s="6" customFormat="1" x14ac:dyDescent="0.2">
      <c r="A76" s="17"/>
      <c r="B76" s="20"/>
      <c r="C76" s="7" t="s">
        <v>12</v>
      </c>
      <c r="D76" s="7" t="s">
        <v>12</v>
      </c>
      <c r="E76" s="7" t="s">
        <v>12</v>
      </c>
      <c r="F76" s="7" t="s">
        <v>12</v>
      </c>
      <c r="G76" s="7" t="s">
        <v>12</v>
      </c>
      <c r="H76" s="7" t="s">
        <v>12</v>
      </c>
      <c r="I76" s="25" t="s">
        <v>12</v>
      </c>
      <c r="J76" s="7" t="s">
        <v>12</v>
      </c>
      <c r="K76" s="7" t="s">
        <v>12</v>
      </c>
      <c r="L76" s="7" t="s">
        <v>12</v>
      </c>
      <c r="M76" s="7" t="s">
        <v>12</v>
      </c>
      <c r="N76" s="24" t="s">
        <v>12</v>
      </c>
      <c r="O76" s="7" t="s">
        <v>12</v>
      </c>
    </row>
    <row r="77" spans="1:15" s="6" customFormat="1" x14ac:dyDescent="0.2">
      <c r="A77" s="17"/>
      <c r="B77" s="20"/>
      <c r="C77" s="7" t="s">
        <v>12</v>
      </c>
      <c r="D77" s="7" t="s">
        <v>12</v>
      </c>
      <c r="E77" s="7" t="s">
        <v>12</v>
      </c>
      <c r="F77" s="7" t="s">
        <v>12</v>
      </c>
      <c r="G77" s="7" t="s">
        <v>12</v>
      </c>
      <c r="H77" s="7" t="s">
        <v>12</v>
      </c>
      <c r="I77" s="25" t="s">
        <v>12</v>
      </c>
      <c r="J77" s="7" t="s">
        <v>12</v>
      </c>
      <c r="K77" s="7" t="s">
        <v>12</v>
      </c>
      <c r="L77" s="7" t="s">
        <v>12</v>
      </c>
      <c r="M77" s="7" t="s">
        <v>12</v>
      </c>
      <c r="N77" s="24" t="s">
        <v>12</v>
      </c>
      <c r="O77" s="7" t="s">
        <v>12</v>
      </c>
    </row>
    <row r="78" spans="1:15" s="6" customFormat="1" x14ac:dyDescent="0.2">
      <c r="A78" s="17"/>
      <c r="B78" s="20"/>
      <c r="C78" s="7" t="s">
        <v>12</v>
      </c>
      <c r="D78" s="7" t="s">
        <v>12</v>
      </c>
      <c r="E78" s="7" t="s">
        <v>12</v>
      </c>
      <c r="F78" s="7" t="s">
        <v>12</v>
      </c>
      <c r="G78" s="7" t="s">
        <v>12</v>
      </c>
      <c r="H78" s="7" t="s">
        <v>12</v>
      </c>
      <c r="I78" s="25" t="s">
        <v>12</v>
      </c>
      <c r="J78" s="7" t="s">
        <v>12</v>
      </c>
      <c r="K78" s="7" t="s">
        <v>12</v>
      </c>
      <c r="L78" s="7" t="s">
        <v>12</v>
      </c>
      <c r="M78" s="7" t="s">
        <v>12</v>
      </c>
      <c r="N78" s="24" t="s">
        <v>12</v>
      </c>
      <c r="O78" s="7" t="s">
        <v>12</v>
      </c>
    </row>
    <row r="79" spans="1:15" s="6" customFormat="1" x14ac:dyDescent="0.2">
      <c r="A79" s="17"/>
      <c r="B79" s="20"/>
      <c r="C79" s="7" t="s">
        <v>12</v>
      </c>
      <c r="D79" s="7" t="s">
        <v>12</v>
      </c>
      <c r="E79" s="7" t="s">
        <v>12</v>
      </c>
      <c r="F79" s="7" t="s">
        <v>12</v>
      </c>
      <c r="G79" s="7" t="s">
        <v>12</v>
      </c>
      <c r="H79" s="7" t="s">
        <v>12</v>
      </c>
      <c r="I79" s="25" t="s">
        <v>12</v>
      </c>
      <c r="J79" s="7" t="s">
        <v>12</v>
      </c>
      <c r="K79" s="7" t="s">
        <v>12</v>
      </c>
      <c r="L79" s="7" t="s">
        <v>12</v>
      </c>
      <c r="M79" s="7" t="s">
        <v>12</v>
      </c>
      <c r="N79" s="24" t="s">
        <v>12</v>
      </c>
      <c r="O79" s="7" t="s">
        <v>12</v>
      </c>
    </row>
    <row r="80" spans="1:15" s="6" customFormat="1" x14ac:dyDescent="0.2">
      <c r="A80" s="17"/>
      <c r="B80" s="20"/>
      <c r="C80" s="7" t="s">
        <v>12</v>
      </c>
      <c r="D80" s="7" t="s">
        <v>12</v>
      </c>
      <c r="E80" s="7" t="s">
        <v>12</v>
      </c>
      <c r="F80" s="7" t="s">
        <v>12</v>
      </c>
      <c r="G80" s="7" t="s">
        <v>12</v>
      </c>
      <c r="H80" s="7" t="s">
        <v>12</v>
      </c>
      <c r="I80" s="25" t="s">
        <v>12</v>
      </c>
      <c r="J80" s="7" t="s">
        <v>12</v>
      </c>
      <c r="K80" s="7" t="s">
        <v>12</v>
      </c>
      <c r="L80" s="7" t="s">
        <v>12</v>
      </c>
      <c r="M80" s="7" t="s">
        <v>12</v>
      </c>
      <c r="N80" s="24" t="s">
        <v>12</v>
      </c>
      <c r="O80" s="7" t="s">
        <v>12</v>
      </c>
    </row>
    <row r="81" spans="1:16" s="6" customFormat="1" x14ac:dyDescent="0.2">
      <c r="A81" s="17"/>
      <c r="B81" s="20"/>
      <c r="C81" s="7" t="s">
        <v>12</v>
      </c>
      <c r="D81" s="7" t="s">
        <v>12</v>
      </c>
      <c r="E81" s="7" t="s">
        <v>12</v>
      </c>
      <c r="F81" s="7" t="s">
        <v>12</v>
      </c>
      <c r="G81" s="7" t="s">
        <v>12</v>
      </c>
      <c r="H81" s="7" t="s">
        <v>12</v>
      </c>
      <c r="I81" s="25" t="s">
        <v>12</v>
      </c>
      <c r="J81" s="7" t="s">
        <v>12</v>
      </c>
      <c r="K81" s="7" t="s">
        <v>12</v>
      </c>
      <c r="L81" s="7" t="s">
        <v>12</v>
      </c>
      <c r="M81" s="7" t="s">
        <v>12</v>
      </c>
      <c r="N81" s="24" t="s">
        <v>12</v>
      </c>
      <c r="O81" s="7" t="s">
        <v>12</v>
      </c>
    </row>
    <row r="82" spans="1:16" s="6" customFormat="1" x14ac:dyDescent="0.2">
      <c r="A82" s="17"/>
      <c r="B82" s="20"/>
      <c r="C82" s="7" t="s">
        <v>12</v>
      </c>
      <c r="D82" s="7" t="s">
        <v>12</v>
      </c>
      <c r="E82" s="7" t="s">
        <v>12</v>
      </c>
      <c r="F82" s="7" t="s">
        <v>12</v>
      </c>
      <c r="G82" s="7" t="s">
        <v>12</v>
      </c>
      <c r="H82" s="7" t="s">
        <v>12</v>
      </c>
      <c r="I82" s="25" t="s">
        <v>12</v>
      </c>
      <c r="J82" s="7" t="s">
        <v>12</v>
      </c>
      <c r="K82" s="7" t="s">
        <v>12</v>
      </c>
      <c r="L82" s="7" t="s">
        <v>12</v>
      </c>
      <c r="M82" s="7" t="s">
        <v>12</v>
      </c>
      <c r="N82" s="24" t="s">
        <v>12</v>
      </c>
      <c r="O82" s="7" t="s">
        <v>12</v>
      </c>
    </row>
    <row r="83" spans="1:16" s="6" customFormat="1" x14ac:dyDescent="0.2">
      <c r="A83" s="17"/>
      <c r="B83" s="20"/>
      <c r="C83" s="7" t="s">
        <v>12</v>
      </c>
      <c r="D83" s="7" t="s">
        <v>12</v>
      </c>
      <c r="E83" s="7" t="s">
        <v>12</v>
      </c>
      <c r="F83" s="7" t="s">
        <v>12</v>
      </c>
      <c r="G83" s="7" t="s">
        <v>12</v>
      </c>
      <c r="H83" s="7" t="s">
        <v>12</v>
      </c>
      <c r="I83" s="25" t="s">
        <v>12</v>
      </c>
      <c r="J83" s="7" t="s">
        <v>12</v>
      </c>
      <c r="K83" s="7" t="s">
        <v>12</v>
      </c>
      <c r="L83" s="7" t="s">
        <v>12</v>
      </c>
      <c r="M83" s="7" t="s">
        <v>12</v>
      </c>
      <c r="N83" s="24" t="s">
        <v>12</v>
      </c>
      <c r="O83" s="7" t="s">
        <v>12</v>
      </c>
    </row>
    <row r="84" spans="1:16" s="6" customFormat="1" x14ac:dyDescent="0.2">
      <c r="A84" s="17"/>
      <c r="B84" s="20"/>
      <c r="C84" s="7" t="s">
        <v>12</v>
      </c>
      <c r="D84" s="7" t="s">
        <v>12</v>
      </c>
      <c r="E84" s="7" t="s">
        <v>12</v>
      </c>
      <c r="F84" s="7" t="s">
        <v>12</v>
      </c>
      <c r="G84" s="7" t="s">
        <v>12</v>
      </c>
      <c r="H84" s="7" t="s">
        <v>12</v>
      </c>
      <c r="I84" s="25" t="s">
        <v>12</v>
      </c>
      <c r="J84" s="7" t="s">
        <v>12</v>
      </c>
      <c r="K84" s="7" t="s">
        <v>12</v>
      </c>
      <c r="L84" s="7" t="s">
        <v>12</v>
      </c>
      <c r="M84" s="7" t="s">
        <v>12</v>
      </c>
      <c r="N84" s="24" t="s">
        <v>12</v>
      </c>
      <c r="O84" s="7" t="s">
        <v>12</v>
      </c>
    </row>
    <row r="85" spans="1:16" s="6" customFormat="1" x14ac:dyDescent="0.2">
      <c r="A85" s="17"/>
      <c r="B85" s="20"/>
      <c r="C85" s="7" t="s">
        <v>12</v>
      </c>
      <c r="D85" s="7" t="s">
        <v>12</v>
      </c>
      <c r="E85" s="7" t="s">
        <v>12</v>
      </c>
      <c r="F85" s="7" t="s">
        <v>12</v>
      </c>
      <c r="G85" s="7" t="s">
        <v>12</v>
      </c>
      <c r="H85" s="7" t="s">
        <v>12</v>
      </c>
      <c r="I85" s="25" t="s">
        <v>12</v>
      </c>
      <c r="J85" s="7" t="s">
        <v>12</v>
      </c>
      <c r="K85" s="7" t="s">
        <v>12</v>
      </c>
      <c r="L85" s="7" t="s">
        <v>12</v>
      </c>
      <c r="M85" s="7" t="s">
        <v>12</v>
      </c>
      <c r="N85" s="24" t="s">
        <v>12</v>
      </c>
      <c r="O85" s="7" t="s">
        <v>12</v>
      </c>
    </row>
    <row r="86" spans="1:16" s="6" customFormat="1" x14ac:dyDescent="0.2">
      <c r="A86" s="17"/>
      <c r="B86" s="20"/>
      <c r="C86" s="7" t="s">
        <v>12</v>
      </c>
      <c r="D86" s="7" t="s">
        <v>12</v>
      </c>
      <c r="E86" s="7" t="s">
        <v>12</v>
      </c>
      <c r="F86" s="7" t="s">
        <v>12</v>
      </c>
      <c r="G86" s="7" t="s">
        <v>12</v>
      </c>
      <c r="H86" s="7" t="s">
        <v>12</v>
      </c>
      <c r="I86" s="25" t="s">
        <v>12</v>
      </c>
      <c r="J86" s="7" t="s">
        <v>12</v>
      </c>
      <c r="K86" s="7" t="s">
        <v>12</v>
      </c>
      <c r="L86" s="7" t="s">
        <v>12</v>
      </c>
      <c r="M86" s="7" t="s">
        <v>12</v>
      </c>
      <c r="N86" s="24" t="s">
        <v>12</v>
      </c>
      <c r="O86" s="7" t="s">
        <v>12</v>
      </c>
    </row>
    <row r="87" spans="1:16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  <row r="370" customFormat="1" x14ac:dyDescent="0.2"/>
    <row r="371" customFormat="1" x14ac:dyDescent="0.2"/>
    <row r="372" customFormat="1" x14ac:dyDescent="0.2"/>
    <row r="373" customFormat="1" x14ac:dyDescent="0.2"/>
    <row r="374" customFormat="1" x14ac:dyDescent="0.2"/>
    <row r="375" customFormat="1" x14ac:dyDescent="0.2"/>
    <row r="376" customFormat="1" x14ac:dyDescent="0.2"/>
    <row r="377" customFormat="1" x14ac:dyDescent="0.2"/>
    <row r="378" customFormat="1" x14ac:dyDescent="0.2"/>
    <row r="379" customFormat="1" x14ac:dyDescent="0.2"/>
    <row r="380" customFormat="1" x14ac:dyDescent="0.2"/>
    <row r="381" customFormat="1" x14ac:dyDescent="0.2"/>
    <row r="382" customFormat="1" x14ac:dyDescent="0.2"/>
    <row r="383" customFormat="1" x14ac:dyDescent="0.2"/>
    <row r="384" customFormat="1" x14ac:dyDescent="0.2"/>
    <row r="385" customFormat="1" x14ac:dyDescent="0.2"/>
    <row r="386" customFormat="1" x14ac:dyDescent="0.2"/>
    <row r="387" customFormat="1" x14ac:dyDescent="0.2"/>
    <row r="388" customFormat="1" x14ac:dyDescent="0.2"/>
    <row r="389" customFormat="1" x14ac:dyDescent="0.2"/>
    <row r="390" customFormat="1" x14ac:dyDescent="0.2"/>
    <row r="391" customFormat="1" x14ac:dyDescent="0.2"/>
    <row r="392" customFormat="1" x14ac:dyDescent="0.2"/>
    <row r="393" customFormat="1" x14ac:dyDescent="0.2"/>
    <row r="394" customFormat="1" x14ac:dyDescent="0.2"/>
    <row r="395" customFormat="1" x14ac:dyDescent="0.2"/>
    <row r="396" customFormat="1" x14ac:dyDescent="0.2"/>
    <row r="397" customFormat="1" x14ac:dyDescent="0.2"/>
    <row r="398" customFormat="1" x14ac:dyDescent="0.2"/>
    <row r="399" customFormat="1" x14ac:dyDescent="0.2"/>
    <row r="400" customFormat="1" x14ac:dyDescent="0.2"/>
    <row r="401" customFormat="1" x14ac:dyDescent="0.2"/>
    <row r="402" customFormat="1" x14ac:dyDescent="0.2"/>
    <row r="403" customFormat="1" x14ac:dyDescent="0.2"/>
    <row r="404" customFormat="1" x14ac:dyDescent="0.2"/>
    <row r="405" customFormat="1" x14ac:dyDescent="0.2"/>
    <row r="406" customFormat="1" x14ac:dyDescent="0.2"/>
    <row r="407" customFormat="1" x14ac:dyDescent="0.2"/>
    <row r="408" customFormat="1" x14ac:dyDescent="0.2"/>
    <row r="409" customFormat="1" x14ac:dyDescent="0.2"/>
    <row r="410" customFormat="1" x14ac:dyDescent="0.2"/>
    <row r="411" customFormat="1" x14ac:dyDescent="0.2"/>
    <row r="412" customFormat="1" x14ac:dyDescent="0.2"/>
    <row r="413" customFormat="1" x14ac:dyDescent="0.2"/>
    <row r="414" customFormat="1" x14ac:dyDescent="0.2"/>
    <row r="415" customFormat="1" x14ac:dyDescent="0.2"/>
    <row r="416" customFormat="1" x14ac:dyDescent="0.2"/>
    <row r="417" customFormat="1" x14ac:dyDescent="0.2"/>
    <row r="418" customFormat="1" x14ac:dyDescent="0.2"/>
    <row r="419" customFormat="1" x14ac:dyDescent="0.2"/>
    <row r="420" customFormat="1" x14ac:dyDescent="0.2"/>
    <row r="421" customFormat="1" x14ac:dyDescent="0.2"/>
    <row r="422" customFormat="1" x14ac:dyDescent="0.2"/>
    <row r="423" customFormat="1" x14ac:dyDescent="0.2"/>
    <row r="424" customFormat="1" x14ac:dyDescent="0.2"/>
    <row r="425" customFormat="1" x14ac:dyDescent="0.2"/>
    <row r="426" customFormat="1" x14ac:dyDescent="0.2"/>
    <row r="427" customFormat="1" x14ac:dyDescent="0.2"/>
    <row r="428" customFormat="1" x14ac:dyDescent="0.2"/>
    <row r="429" customFormat="1" x14ac:dyDescent="0.2"/>
    <row r="430" customFormat="1" x14ac:dyDescent="0.2"/>
    <row r="431" customFormat="1" x14ac:dyDescent="0.2"/>
    <row r="432" customFormat="1" x14ac:dyDescent="0.2"/>
    <row r="433" customFormat="1" x14ac:dyDescent="0.2"/>
    <row r="434" customFormat="1" x14ac:dyDescent="0.2"/>
    <row r="435" customFormat="1" x14ac:dyDescent="0.2"/>
    <row r="436" customFormat="1" x14ac:dyDescent="0.2"/>
    <row r="437" customFormat="1" x14ac:dyDescent="0.2"/>
    <row r="438" customFormat="1" x14ac:dyDescent="0.2"/>
    <row r="439" customFormat="1" x14ac:dyDescent="0.2"/>
    <row r="440" customFormat="1" x14ac:dyDescent="0.2"/>
    <row r="441" customFormat="1" x14ac:dyDescent="0.2"/>
    <row r="442" customFormat="1" x14ac:dyDescent="0.2"/>
    <row r="443" customFormat="1" x14ac:dyDescent="0.2"/>
    <row r="444" customFormat="1" x14ac:dyDescent="0.2"/>
    <row r="445" customFormat="1" x14ac:dyDescent="0.2"/>
    <row r="446" customFormat="1" x14ac:dyDescent="0.2"/>
    <row r="447" customFormat="1" x14ac:dyDescent="0.2"/>
    <row r="448" customFormat="1" x14ac:dyDescent="0.2"/>
    <row r="449" customFormat="1" x14ac:dyDescent="0.2"/>
    <row r="450" customFormat="1" x14ac:dyDescent="0.2"/>
    <row r="451" customFormat="1" x14ac:dyDescent="0.2"/>
    <row r="452" customFormat="1" x14ac:dyDescent="0.2"/>
    <row r="453" customFormat="1" x14ac:dyDescent="0.2"/>
    <row r="454" customFormat="1" x14ac:dyDescent="0.2"/>
    <row r="455" customFormat="1" x14ac:dyDescent="0.2"/>
    <row r="456" customFormat="1" x14ac:dyDescent="0.2"/>
    <row r="457" customFormat="1" x14ac:dyDescent="0.2"/>
    <row r="458" customFormat="1" x14ac:dyDescent="0.2"/>
    <row r="459" customFormat="1" x14ac:dyDescent="0.2"/>
    <row r="460" customFormat="1" x14ac:dyDescent="0.2"/>
    <row r="461" customFormat="1" x14ac:dyDescent="0.2"/>
    <row r="462" customFormat="1" x14ac:dyDescent="0.2"/>
    <row r="463" customFormat="1" x14ac:dyDescent="0.2"/>
    <row r="464" customFormat="1" x14ac:dyDescent="0.2"/>
    <row r="465" customFormat="1" x14ac:dyDescent="0.2"/>
    <row r="466" customFormat="1" x14ac:dyDescent="0.2"/>
    <row r="467" customFormat="1" x14ac:dyDescent="0.2"/>
    <row r="468" customFormat="1" x14ac:dyDescent="0.2"/>
    <row r="469" customFormat="1" x14ac:dyDescent="0.2"/>
    <row r="470" customFormat="1" x14ac:dyDescent="0.2"/>
    <row r="471" customFormat="1" x14ac:dyDescent="0.2"/>
    <row r="472" customFormat="1" x14ac:dyDescent="0.2"/>
    <row r="473" customFormat="1" x14ac:dyDescent="0.2"/>
    <row r="474" customFormat="1" x14ac:dyDescent="0.2"/>
    <row r="475" customFormat="1" x14ac:dyDescent="0.2"/>
    <row r="476" customFormat="1" x14ac:dyDescent="0.2"/>
    <row r="477" customFormat="1" x14ac:dyDescent="0.2"/>
    <row r="478" customFormat="1" x14ac:dyDescent="0.2"/>
    <row r="479" customFormat="1" x14ac:dyDescent="0.2"/>
    <row r="480" customFormat="1" x14ac:dyDescent="0.2"/>
    <row r="481" customFormat="1" x14ac:dyDescent="0.2"/>
    <row r="482" customFormat="1" x14ac:dyDescent="0.2"/>
    <row r="483" customFormat="1" x14ac:dyDescent="0.2"/>
    <row r="484" customFormat="1" x14ac:dyDescent="0.2"/>
    <row r="485" customFormat="1" x14ac:dyDescent="0.2"/>
    <row r="486" customFormat="1" x14ac:dyDescent="0.2"/>
    <row r="487" customFormat="1" x14ac:dyDescent="0.2"/>
    <row r="488" customFormat="1" x14ac:dyDescent="0.2"/>
    <row r="489" customFormat="1" x14ac:dyDescent="0.2"/>
    <row r="490" customFormat="1" x14ac:dyDescent="0.2"/>
    <row r="491" customFormat="1" x14ac:dyDescent="0.2"/>
    <row r="492" customFormat="1" x14ac:dyDescent="0.2"/>
    <row r="493" customFormat="1" x14ac:dyDescent="0.2"/>
    <row r="494" customFormat="1" x14ac:dyDescent="0.2"/>
    <row r="495" customFormat="1" x14ac:dyDescent="0.2"/>
    <row r="496" customFormat="1" x14ac:dyDescent="0.2"/>
    <row r="497" customFormat="1" x14ac:dyDescent="0.2"/>
    <row r="498" customFormat="1" x14ac:dyDescent="0.2"/>
    <row r="499" customFormat="1" x14ac:dyDescent="0.2"/>
    <row r="500" customFormat="1" x14ac:dyDescent="0.2"/>
    <row r="501" customFormat="1" x14ac:dyDescent="0.2"/>
    <row r="502" customFormat="1" x14ac:dyDescent="0.2"/>
    <row r="503" customFormat="1" x14ac:dyDescent="0.2"/>
    <row r="504" customFormat="1" x14ac:dyDescent="0.2"/>
    <row r="505" customFormat="1" x14ac:dyDescent="0.2"/>
    <row r="506" customFormat="1" x14ac:dyDescent="0.2"/>
    <row r="507" customFormat="1" x14ac:dyDescent="0.2"/>
    <row r="508" customFormat="1" x14ac:dyDescent="0.2"/>
    <row r="509" customFormat="1" x14ac:dyDescent="0.2"/>
    <row r="510" customFormat="1" x14ac:dyDescent="0.2"/>
    <row r="511" customFormat="1" x14ac:dyDescent="0.2"/>
    <row r="512" customFormat="1" x14ac:dyDescent="0.2"/>
    <row r="513" customFormat="1" x14ac:dyDescent="0.2"/>
    <row r="514" customFormat="1" x14ac:dyDescent="0.2"/>
    <row r="515" customFormat="1" x14ac:dyDescent="0.2"/>
    <row r="516" customFormat="1" x14ac:dyDescent="0.2"/>
    <row r="517" customFormat="1" x14ac:dyDescent="0.2"/>
    <row r="518" customFormat="1" x14ac:dyDescent="0.2"/>
    <row r="519" customFormat="1" x14ac:dyDescent="0.2"/>
    <row r="520" customFormat="1" x14ac:dyDescent="0.2"/>
    <row r="521" customFormat="1" x14ac:dyDescent="0.2"/>
    <row r="522" customFormat="1" x14ac:dyDescent="0.2"/>
    <row r="523" customFormat="1" x14ac:dyDescent="0.2"/>
    <row r="524" customFormat="1" x14ac:dyDescent="0.2"/>
    <row r="525" customFormat="1" x14ac:dyDescent="0.2"/>
    <row r="526" customFormat="1" x14ac:dyDescent="0.2"/>
    <row r="527" customFormat="1" x14ac:dyDescent="0.2"/>
    <row r="528" customFormat="1" x14ac:dyDescent="0.2"/>
    <row r="529" customFormat="1" x14ac:dyDescent="0.2"/>
    <row r="530" customFormat="1" x14ac:dyDescent="0.2"/>
    <row r="531" customFormat="1" x14ac:dyDescent="0.2"/>
    <row r="532" customFormat="1" x14ac:dyDescent="0.2"/>
    <row r="533" customFormat="1" x14ac:dyDescent="0.2"/>
    <row r="534" customFormat="1" x14ac:dyDescent="0.2"/>
    <row r="535" customFormat="1" x14ac:dyDescent="0.2"/>
    <row r="536" customFormat="1" x14ac:dyDescent="0.2"/>
    <row r="537" customFormat="1" x14ac:dyDescent="0.2"/>
    <row r="538" customFormat="1" x14ac:dyDescent="0.2"/>
    <row r="539" customFormat="1" x14ac:dyDescent="0.2"/>
    <row r="540" customFormat="1" x14ac:dyDescent="0.2"/>
    <row r="541" customFormat="1" x14ac:dyDescent="0.2"/>
    <row r="542" customFormat="1" x14ac:dyDescent="0.2"/>
    <row r="543" customFormat="1" x14ac:dyDescent="0.2"/>
    <row r="544" customFormat="1" x14ac:dyDescent="0.2"/>
    <row r="545" customFormat="1" x14ac:dyDescent="0.2"/>
    <row r="546" customFormat="1" x14ac:dyDescent="0.2"/>
    <row r="547" customFormat="1" x14ac:dyDescent="0.2"/>
    <row r="548" customFormat="1" x14ac:dyDescent="0.2"/>
    <row r="549" customFormat="1" x14ac:dyDescent="0.2"/>
    <row r="550" customFormat="1" x14ac:dyDescent="0.2"/>
    <row r="551" customFormat="1" x14ac:dyDescent="0.2"/>
    <row r="552" customFormat="1" x14ac:dyDescent="0.2"/>
    <row r="553" customFormat="1" x14ac:dyDescent="0.2"/>
    <row r="554" customFormat="1" x14ac:dyDescent="0.2"/>
    <row r="555" customFormat="1" x14ac:dyDescent="0.2"/>
    <row r="556" customFormat="1" x14ac:dyDescent="0.2"/>
    <row r="557" customFormat="1" x14ac:dyDescent="0.2"/>
    <row r="558" customFormat="1" x14ac:dyDescent="0.2"/>
    <row r="559" customFormat="1" x14ac:dyDescent="0.2"/>
    <row r="560" customFormat="1" x14ac:dyDescent="0.2"/>
    <row r="561" customFormat="1" x14ac:dyDescent="0.2"/>
    <row r="562" customFormat="1" x14ac:dyDescent="0.2"/>
    <row r="563" customFormat="1" x14ac:dyDescent="0.2"/>
    <row r="564" customFormat="1" x14ac:dyDescent="0.2"/>
    <row r="565" customFormat="1" x14ac:dyDescent="0.2"/>
    <row r="566" customFormat="1" x14ac:dyDescent="0.2"/>
    <row r="567" customFormat="1" x14ac:dyDescent="0.2"/>
    <row r="568" customFormat="1" x14ac:dyDescent="0.2"/>
    <row r="569" customFormat="1" x14ac:dyDescent="0.2"/>
    <row r="570" customFormat="1" x14ac:dyDescent="0.2"/>
    <row r="571" customFormat="1" x14ac:dyDescent="0.2"/>
    <row r="572" customFormat="1" x14ac:dyDescent="0.2"/>
    <row r="573" customFormat="1" x14ac:dyDescent="0.2"/>
    <row r="574" customFormat="1" x14ac:dyDescent="0.2"/>
    <row r="575" customFormat="1" x14ac:dyDescent="0.2"/>
    <row r="576" customFormat="1" x14ac:dyDescent="0.2"/>
    <row r="577" customFormat="1" x14ac:dyDescent="0.2"/>
    <row r="578" customFormat="1" x14ac:dyDescent="0.2"/>
    <row r="579" customFormat="1" x14ac:dyDescent="0.2"/>
    <row r="580" customFormat="1" x14ac:dyDescent="0.2"/>
    <row r="581" customFormat="1" x14ac:dyDescent="0.2"/>
    <row r="582" customFormat="1" x14ac:dyDescent="0.2"/>
    <row r="583" customFormat="1" x14ac:dyDescent="0.2"/>
    <row r="584" customFormat="1" x14ac:dyDescent="0.2"/>
    <row r="585" customFormat="1" x14ac:dyDescent="0.2"/>
    <row r="586" customFormat="1" x14ac:dyDescent="0.2"/>
    <row r="587" customFormat="1" x14ac:dyDescent="0.2"/>
    <row r="588" customFormat="1" x14ac:dyDescent="0.2"/>
    <row r="589" customFormat="1" x14ac:dyDescent="0.2"/>
    <row r="590" customFormat="1" x14ac:dyDescent="0.2"/>
    <row r="591" customFormat="1" x14ac:dyDescent="0.2"/>
    <row r="592" customFormat="1" x14ac:dyDescent="0.2"/>
    <row r="593" customFormat="1" x14ac:dyDescent="0.2"/>
    <row r="594" customFormat="1" x14ac:dyDescent="0.2"/>
    <row r="595" customFormat="1" x14ac:dyDescent="0.2"/>
    <row r="596" customFormat="1" x14ac:dyDescent="0.2"/>
    <row r="597" customFormat="1" x14ac:dyDescent="0.2"/>
    <row r="598" customFormat="1" x14ac:dyDescent="0.2"/>
    <row r="599" customFormat="1" x14ac:dyDescent="0.2"/>
    <row r="600" customFormat="1" x14ac:dyDescent="0.2"/>
    <row r="601" customFormat="1" x14ac:dyDescent="0.2"/>
    <row r="602" customFormat="1" x14ac:dyDescent="0.2"/>
    <row r="603" customFormat="1" x14ac:dyDescent="0.2"/>
    <row r="604" customFormat="1" x14ac:dyDescent="0.2"/>
    <row r="605" customFormat="1" x14ac:dyDescent="0.2"/>
    <row r="606" customFormat="1" x14ac:dyDescent="0.2"/>
    <row r="607" customFormat="1" x14ac:dyDescent="0.2"/>
    <row r="608" customFormat="1" x14ac:dyDescent="0.2"/>
    <row r="609" customFormat="1" x14ac:dyDescent="0.2"/>
    <row r="610" customFormat="1" x14ac:dyDescent="0.2"/>
    <row r="611" customFormat="1" x14ac:dyDescent="0.2"/>
    <row r="612" customFormat="1" x14ac:dyDescent="0.2"/>
    <row r="613" customFormat="1" x14ac:dyDescent="0.2"/>
    <row r="614" customFormat="1" x14ac:dyDescent="0.2"/>
    <row r="615" customFormat="1" x14ac:dyDescent="0.2"/>
    <row r="616" customFormat="1" x14ac:dyDescent="0.2"/>
    <row r="617" customFormat="1" x14ac:dyDescent="0.2"/>
    <row r="618" customFormat="1" x14ac:dyDescent="0.2"/>
    <row r="619" customFormat="1" x14ac:dyDescent="0.2"/>
    <row r="620" customFormat="1" x14ac:dyDescent="0.2"/>
    <row r="621" customFormat="1" x14ac:dyDescent="0.2"/>
    <row r="622" customFormat="1" x14ac:dyDescent="0.2"/>
    <row r="623" customFormat="1" x14ac:dyDescent="0.2"/>
    <row r="624" customFormat="1" x14ac:dyDescent="0.2"/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</sheetData>
  <conditionalFormatting sqref="C2:C86">
    <cfRule type="cellIs" dxfId="64" priority="689" operator="lessThan">
      <formula>22</formula>
    </cfRule>
    <cfRule type="cellIs" dxfId="63" priority="688" operator="between">
      <formula>22</formula>
      <formula>23</formula>
    </cfRule>
    <cfRule type="cellIs" dxfId="62" priority="687" operator="between">
      <formula>24</formula>
      <formula>27.5</formula>
    </cfRule>
    <cfRule type="cellIs" dxfId="61" priority="730" operator="between">
      <formula>22</formula>
      <formula>23</formula>
    </cfRule>
    <cfRule type="cellIs" dxfId="60" priority="729" operator="between">
      <formula>24</formula>
      <formula>27.5</formula>
    </cfRule>
    <cfRule type="cellIs" dxfId="59" priority="728" operator="greaterThan">
      <formula>28</formula>
    </cfRule>
    <cfRule type="cellIs" dxfId="58" priority="686" operator="greaterThan">
      <formula>27.5</formula>
    </cfRule>
  </conditionalFormatting>
  <conditionalFormatting sqref="C2:E86 H2:O86">
    <cfRule type="cellIs" dxfId="57" priority="2" operator="equal">
      <formula>"-"</formula>
    </cfRule>
  </conditionalFormatting>
  <conditionalFormatting sqref="D2:D86">
    <cfRule type="cellIs" dxfId="56" priority="694" operator="between">
      <formula>1023</formula>
      <formula>1026</formula>
    </cfRule>
    <cfRule type="cellIs" dxfId="55" priority="736" operator="between">
      <formula>1021</formula>
      <formula>1022</formula>
    </cfRule>
    <cfRule type="cellIs" dxfId="54" priority="695" operator="between">
      <formula>1021</formula>
      <formula>1022</formula>
    </cfRule>
    <cfRule type="cellIs" dxfId="53" priority="693" operator="between">
      <formula>1027</formula>
      <formula>1028</formula>
    </cfRule>
    <cfRule type="cellIs" dxfId="52" priority="692" operator="lessThan">
      <formula>1021</formula>
    </cfRule>
    <cfRule type="cellIs" dxfId="51" priority="734" operator="between">
      <formula>1027</formula>
      <formula>1028</formula>
    </cfRule>
    <cfRule type="cellIs" dxfId="50" priority="735" operator="between">
      <formula>1023</formula>
      <formula>1026</formula>
    </cfRule>
    <cfRule type="cellIs" dxfId="49" priority="691" operator="greaterThan">
      <formula>1028</formula>
    </cfRule>
  </conditionalFormatting>
  <conditionalFormatting sqref="E2:E86">
    <cfRule type="cellIs" dxfId="48" priority="725" operator="between">
      <formula>7.7</formula>
      <formula>7.9</formula>
    </cfRule>
    <cfRule type="cellIs" dxfId="47" priority="726" operator="between">
      <formula>8</formula>
      <formula>8.4</formula>
    </cfRule>
    <cfRule type="cellIs" dxfId="46" priority="680" operator="greaterThan">
      <formula>8.6</formula>
    </cfRule>
    <cfRule type="cellIs" dxfId="45" priority="681" operator="lessThan">
      <formula>7.7</formula>
    </cfRule>
    <cfRule type="cellIs" dxfId="44" priority="682" operator="between">
      <formula>7.7</formula>
      <formula>7.9</formula>
    </cfRule>
    <cfRule type="cellIs" dxfId="43" priority="683" operator="between">
      <formula>8</formula>
      <formula>8.4</formula>
    </cfRule>
    <cfRule type="cellIs" dxfId="42" priority="684" operator="between">
      <formula>8.5</formula>
      <formula>8.6</formula>
    </cfRule>
    <cfRule type="cellIs" dxfId="41" priority="727" operator="between">
      <formula>8.5</formula>
      <formula>8.6</formula>
    </cfRule>
  </conditionalFormatting>
  <conditionalFormatting sqref="F2:F86 F16:G86">
    <cfRule type="cellIs" dxfId="40" priority="1" operator="equal">
      <formula>"-"</formula>
    </cfRule>
  </conditionalFormatting>
  <conditionalFormatting sqref="F2:F86">
    <cfRule type="cellIs" dxfId="39" priority="699" operator="greaterThan">
      <formula>19</formula>
    </cfRule>
    <cfRule type="cellIs" dxfId="38" priority="700" operator="between">
      <formula>18</formula>
      <formula>19</formula>
    </cfRule>
    <cfRule type="cellIs" dxfId="37" priority="701" stopIfTrue="1" operator="between">
      <formula>7</formula>
      <formula>17</formula>
    </cfRule>
    <cfRule type="cellIs" dxfId="36" priority="702" operator="between">
      <formula>6</formula>
      <formula>7</formula>
    </cfRule>
    <cfRule type="cellIs" dxfId="35" priority="703" operator="lessThan">
      <formula>6</formula>
    </cfRule>
  </conditionalFormatting>
  <conditionalFormatting sqref="F15">
    <cfRule type="cellIs" dxfId="34" priority="404" operator="between">
      <formula>8.5</formula>
      <formula>8.6</formula>
    </cfRule>
    <cfRule type="cellIs" dxfId="33" priority="403" operator="between">
      <formula>8</formula>
      <formula>8.4</formula>
    </cfRule>
    <cfRule type="cellIs" dxfId="32" priority="402" operator="between">
      <formula>7.7</formula>
      <formula>7.9</formula>
    </cfRule>
    <cfRule type="cellIs" dxfId="31" priority="396" operator="equal">
      <formula>"-"</formula>
    </cfRule>
    <cfRule type="cellIs" dxfId="30" priority="397" operator="greaterThan">
      <formula>8.6</formula>
    </cfRule>
    <cfRule type="cellIs" dxfId="29" priority="398" operator="lessThan">
      <formula>7.7</formula>
    </cfRule>
    <cfRule type="cellIs" dxfId="28" priority="401" operator="between">
      <formula>8.5</formula>
      <formula>8.6</formula>
    </cfRule>
    <cfRule type="cellIs" dxfId="27" priority="399" operator="between">
      <formula>7.7</formula>
      <formula>7.9</formula>
    </cfRule>
    <cfRule type="cellIs" dxfId="26" priority="400" operator="between">
      <formula>8</formula>
      <formula>8.4</formula>
    </cfRule>
  </conditionalFormatting>
  <conditionalFormatting sqref="F2:G14 G15">
    <cfRule type="cellIs" dxfId="25" priority="678" operator="equal">
      <formula>"-"</formula>
    </cfRule>
  </conditionalFormatting>
  <conditionalFormatting sqref="G2:G86">
    <cfRule type="cellIs" dxfId="24" priority="722" operator="greaterThan">
      <formula>470</formula>
    </cfRule>
    <cfRule type="cellIs" dxfId="23" priority="721" operator="lessThan">
      <formula>310</formula>
    </cfRule>
    <cfRule type="cellIs" dxfId="22" priority="720" operator="between">
      <formula>310</formula>
      <formula>399</formula>
    </cfRule>
    <cfRule type="cellIs" dxfId="21" priority="719" operator="between">
      <formula>400</formula>
      <formula>459</formula>
    </cfRule>
    <cfRule type="cellIs" dxfId="20" priority="718" operator="between">
      <formula>460</formula>
      <formula>470</formula>
    </cfRule>
  </conditionalFormatting>
  <conditionalFormatting sqref="H2:I86">
    <cfRule type="cellIs" dxfId="19" priority="717" operator="greaterThan">
      <formula>1590</formula>
    </cfRule>
    <cfRule type="cellIs" dxfId="18" priority="713" operator="between">
      <formula>1420</formula>
      <formula>1590</formula>
    </cfRule>
    <cfRule type="cellIs" dxfId="17" priority="714" operator="between">
      <formula>1260</formula>
      <formula>1410</formula>
    </cfRule>
    <cfRule type="cellIs" dxfId="16" priority="715" operator="between">
      <formula>1050</formula>
      <formula>1250</formula>
    </cfRule>
    <cfRule type="cellIs" dxfId="15" priority="716" operator="lessThan">
      <formula>1050</formula>
    </cfRule>
  </conditionalFormatting>
  <conditionalFormatting sqref="J2:J86">
    <cfRule type="cellIs" dxfId="14" priority="712" operator="lessThan">
      <formula>0.11</formula>
    </cfRule>
    <cfRule type="cellIs" dxfId="13" priority="711" operator="between">
      <formula>0.11</formula>
      <formula>0.35</formula>
    </cfRule>
    <cfRule type="cellIs" dxfId="12" priority="710" operator="greaterThan">
      <formula>0.35</formula>
    </cfRule>
  </conditionalFormatting>
  <conditionalFormatting sqref="K2:K86">
    <cfRule type="cellIs" dxfId="11" priority="709" operator="lessThan">
      <formula>0.21</formula>
    </cfRule>
    <cfRule type="cellIs" dxfId="10" priority="708" operator="between">
      <formula>0.22</formula>
      <formula>0.39</formula>
    </cfRule>
    <cfRule type="cellIs" dxfId="9" priority="707" operator="greaterThan">
      <formula>0.39</formula>
    </cfRule>
  </conditionalFormatting>
  <conditionalFormatting sqref="L2:L26">
    <cfRule type="cellIs" dxfId="8" priority="706" operator="lessThan">
      <formula>6</formula>
    </cfRule>
    <cfRule type="cellIs" dxfId="7" priority="705" stopIfTrue="1" operator="between">
      <formula>6</formula>
      <formula>9.9</formula>
    </cfRule>
    <cfRule type="cellIs" dxfId="6" priority="704" operator="greaterThanOrEqual">
      <formula>10</formula>
    </cfRule>
  </conditionalFormatting>
  <conditionalFormatting sqref="L27:O86">
    <cfRule type="cellIs" dxfId="5" priority="5" operator="lessThan">
      <formula>0.039</formula>
    </cfRule>
    <cfRule type="cellIs" dxfId="4" priority="4" operator="between">
      <formula>0.04</formula>
      <formula>0.05</formula>
    </cfRule>
    <cfRule type="cellIs" dxfId="3" priority="3" operator="greaterThan">
      <formula>0.051</formula>
    </cfRule>
  </conditionalFormatting>
  <conditionalFormatting sqref="M2:O26 N24:N86">
    <cfRule type="cellIs" dxfId="2" priority="698" operator="lessThan">
      <formula>0.039</formula>
    </cfRule>
    <cfRule type="cellIs" dxfId="1" priority="697" operator="between">
      <formula>0.04</formula>
      <formula>0.05</formula>
    </cfRule>
    <cfRule type="cellIs" dxfId="0" priority="696" operator="greaterThan">
      <formula>0.051</formula>
    </cfRule>
  </conditionalFormatting>
  <pageMargins left="0.7" right="0.7" top="0.75" bottom="0.75" header="0.3" footer="0.3"/>
  <pageSetup paperSize="9"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41A5-29D5-F64E-B68C-A697ECC6D548}">
  <dimension ref="A1:R58"/>
  <sheetViews>
    <sheetView zoomScale="131" workbookViewId="0">
      <selection activeCell="Q12" sqref="Q12"/>
    </sheetView>
  </sheetViews>
  <sheetFormatPr baseColWidth="10" defaultRowHeight="15" x14ac:dyDescent="0.2"/>
  <cols>
    <col min="1" max="1" width="7.83203125" customWidth="1"/>
    <col min="2" max="256" width="8.83203125" customWidth="1"/>
  </cols>
  <sheetData>
    <row r="1" spans="1:18" x14ac:dyDescent="0.2">
      <c r="A1" s="27" t="s">
        <v>15</v>
      </c>
      <c r="B1" s="27"/>
      <c r="C1" s="27"/>
      <c r="D1" s="27"/>
      <c r="E1" s="27"/>
      <c r="F1" s="27"/>
      <c r="G1" s="27"/>
      <c r="H1" s="28"/>
      <c r="I1" s="10" t="s">
        <v>0</v>
      </c>
      <c r="J1" s="5" t="s">
        <v>1</v>
      </c>
      <c r="K1" s="5" t="s">
        <v>2</v>
      </c>
      <c r="L1" s="5" t="s">
        <v>3</v>
      </c>
      <c r="M1" s="5" t="s">
        <v>4</v>
      </c>
      <c r="N1" s="5" t="s">
        <v>5</v>
      </c>
      <c r="O1" s="5" t="s">
        <v>6</v>
      </c>
      <c r="P1" s="5" t="s">
        <v>7</v>
      </c>
      <c r="Q1" s="5" t="s">
        <v>8</v>
      </c>
      <c r="R1" s="9" t="s">
        <v>14</v>
      </c>
    </row>
    <row r="2" spans="1:18" x14ac:dyDescent="0.2">
      <c r="A2" s="27"/>
      <c r="B2" s="27"/>
      <c r="C2" s="27"/>
      <c r="D2" s="27"/>
      <c r="E2" s="27"/>
      <c r="F2" s="27"/>
      <c r="G2" s="27"/>
      <c r="H2" s="28"/>
      <c r="I2" s="1">
        <v>21</v>
      </c>
      <c r="J2" s="1">
        <v>1020</v>
      </c>
      <c r="K2" s="1">
        <v>7.6</v>
      </c>
      <c r="L2" s="1">
        <v>5</v>
      </c>
      <c r="M2" s="1">
        <v>300</v>
      </c>
      <c r="N2" s="1">
        <v>1040</v>
      </c>
      <c r="O2" s="3">
        <v>0</v>
      </c>
      <c r="P2" s="3">
        <v>0</v>
      </c>
      <c r="Q2" s="3">
        <v>0</v>
      </c>
      <c r="R2" s="3">
        <v>0</v>
      </c>
    </row>
    <row r="3" spans="1:18" x14ac:dyDescent="0.2">
      <c r="A3" s="27"/>
      <c r="B3" s="27"/>
      <c r="C3" s="27"/>
      <c r="D3" s="27"/>
      <c r="E3" s="27"/>
      <c r="F3" s="27"/>
      <c r="G3" s="27"/>
      <c r="H3" s="28"/>
      <c r="I3" s="2">
        <v>22</v>
      </c>
      <c r="J3" s="2">
        <v>1021</v>
      </c>
      <c r="K3" s="2">
        <v>7.7</v>
      </c>
      <c r="L3" s="2">
        <v>6</v>
      </c>
      <c r="M3" s="2">
        <v>310</v>
      </c>
      <c r="N3" s="2">
        <v>1050</v>
      </c>
      <c r="O3" s="3">
        <v>0.01</v>
      </c>
      <c r="P3" s="3">
        <v>0.02</v>
      </c>
      <c r="Q3" s="3">
        <v>1</v>
      </c>
      <c r="R3" s="3">
        <v>0.01</v>
      </c>
    </row>
    <row r="4" spans="1:18" x14ac:dyDescent="0.2">
      <c r="A4" s="27"/>
      <c r="B4" s="27"/>
      <c r="C4" s="27"/>
      <c r="D4" s="27"/>
      <c r="E4" s="27"/>
      <c r="F4" s="27"/>
      <c r="G4" s="27"/>
      <c r="H4" s="28"/>
      <c r="I4" s="2">
        <v>23</v>
      </c>
      <c r="J4" s="2">
        <v>1022</v>
      </c>
      <c r="K4" s="2">
        <v>7.8</v>
      </c>
      <c r="L4" s="2">
        <v>7</v>
      </c>
      <c r="M4" s="2">
        <v>320</v>
      </c>
      <c r="N4" s="2">
        <v>1060</v>
      </c>
      <c r="O4" s="3">
        <v>0.1</v>
      </c>
      <c r="P4" s="3">
        <v>0.05</v>
      </c>
      <c r="Q4" s="3">
        <v>2</v>
      </c>
      <c r="R4" s="3">
        <v>0.02</v>
      </c>
    </row>
    <row r="5" spans="1:18" x14ac:dyDescent="0.2">
      <c r="A5" s="27"/>
      <c r="B5" s="27"/>
      <c r="C5" s="27"/>
      <c r="D5" s="27"/>
      <c r="E5" s="27"/>
      <c r="F5" s="27"/>
      <c r="G5" s="27"/>
      <c r="H5" s="28"/>
      <c r="I5" s="3">
        <v>24</v>
      </c>
      <c r="J5" s="3">
        <v>1023</v>
      </c>
      <c r="K5" s="2">
        <v>7.9</v>
      </c>
      <c r="L5" s="3">
        <v>8</v>
      </c>
      <c r="M5" s="2">
        <v>330</v>
      </c>
      <c r="N5" s="2">
        <v>1070</v>
      </c>
      <c r="O5" s="2">
        <v>0.15</v>
      </c>
      <c r="P5" s="3">
        <v>0.1</v>
      </c>
      <c r="Q5" s="3">
        <v>3</v>
      </c>
      <c r="R5" s="3">
        <v>0.03</v>
      </c>
    </row>
    <row r="6" spans="1:18" x14ac:dyDescent="0.2">
      <c r="A6" s="29"/>
      <c r="B6" s="29"/>
      <c r="C6" s="29"/>
      <c r="D6" s="29"/>
      <c r="E6" s="29"/>
      <c r="F6" s="29"/>
      <c r="G6" s="29"/>
      <c r="H6" s="30"/>
      <c r="I6" s="3">
        <v>24.5</v>
      </c>
      <c r="J6" s="3">
        <v>1024</v>
      </c>
      <c r="K6" s="3">
        <v>8</v>
      </c>
      <c r="L6" s="19">
        <v>9</v>
      </c>
      <c r="M6" s="2">
        <v>340</v>
      </c>
      <c r="N6" s="2">
        <v>1080</v>
      </c>
      <c r="O6" s="2">
        <v>0.2</v>
      </c>
      <c r="P6" s="3">
        <v>0.2</v>
      </c>
      <c r="Q6" s="3">
        <v>4</v>
      </c>
      <c r="R6" s="2">
        <v>0.04</v>
      </c>
    </row>
    <row r="7" spans="1:18" x14ac:dyDescent="0.2">
      <c r="A7" s="8"/>
      <c r="B7" s="8"/>
      <c r="C7" s="8"/>
      <c r="D7" s="8"/>
      <c r="E7" s="8"/>
      <c r="F7" s="8"/>
      <c r="G7" s="8"/>
      <c r="H7" s="8"/>
      <c r="I7" s="3">
        <v>25</v>
      </c>
      <c r="J7" s="3">
        <v>1025</v>
      </c>
      <c r="K7" s="3">
        <v>8.1</v>
      </c>
      <c r="L7" s="3">
        <v>10</v>
      </c>
      <c r="M7" s="2">
        <v>350</v>
      </c>
      <c r="N7" s="2">
        <v>1090</v>
      </c>
      <c r="O7" s="2">
        <v>0.25</v>
      </c>
      <c r="P7" s="2">
        <v>0.3</v>
      </c>
      <c r="Q7" s="3">
        <v>5</v>
      </c>
      <c r="R7" s="2">
        <v>0.05</v>
      </c>
    </row>
    <row r="8" spans="1:18" x14ac:dyDescent="0.2">
      <c r="A8" s="8"/>
      <c r="B8" s="8"/>
      <c r="C8" s="8"/>
      <c r="D8" s="8"/>
      <c r="E8" s="8"/>
      <c r="F8" s="8"/>
      <c r="G8" s="8"/>
      <c r="H8" s="8"/>
      <c r="I8" s="3">
        <v>25.5</v>
      </c>
      <c r="J8" s="3">
        <v>1026</v>
      </c>
      <c r="K8" s="3">
        <v>8.1999999999999993</v>
      </c>
      <c r="L8" s="3">
        <v>11</v>
      </c>
      <c r="M8" s="2">
        <v>360</v>
      </c>
      <c r="N8" s="2">
        <v>1100</v>
      </c>
      <c r="O8" s="2">
        <v>0.3</v>
      </c>
      <c r="P8" s="1">
        <v>0.4</v>
      </c>
      <c r="Q8" s="2">
        <v>6</v>
      </c>
      <c r="R8" s="1">
        <v>0.06</v>
      </c>
    </row>
    <row r="9" spans="1:18" x14ac:dyDescent="0.2">
      <c r="A9" s="13" t="s">
        <v>29</v>
      </c>
      <c r="B9" s="14"/>
      <c r="C9" s="15"/>
      <c r="D9" s="11"/>
      <c r="E9" s="11"/>
      <c r="F9" s="11"/>
      <c r="G9" s="11"/>
      <c r="H9" s="11"/>
      <c r="I9" s="3">
        <v>26</v>
      </c>
      <c r="J9" s="2">
        <v>1027</v>
      </c>
      <c r="K9" s="3">
        <v>8.3000000000000007</v>
      </c>
      <c r="L9" s="3">
        <v>12</v>
      </c>
      <c r="M9" s="2">
        <v>370</v>
      </c>
      <c r="N9" s="2">
        <v>1110</v>
      </c>
      <c r="O9" s="2">
        <v>0.35</v>
      </c>
      <c r="Q9" s="2">
        <v>7</v>
      </c>
    </row>
    <row r="10" spans="1:18" x14ac:dyDescent="0.2">
      <c r="B10" s="11"/>
      <c r="C10" s="11"/>
      <c r="D10" s="11"/>
      <c r="E10" s="11"/>
      <c r="F10" s="11"/>
      <c r="G10" s="11"/>
      <c r="H10" s="11"/>
      <c r="I10" s="3">
        <v>26.5</v>
      </c>
      <c r="J10" s="2">
        <v>1028</v>
      </c>
      <c r="K10" s="3">
        <v>8.4</v>
      </c>
      <c r="L10" s="3">
        <v>13</v>
      </c>
      <c r="M10" s="2">
        <v>380</v>
      </c>
      <c r="N10" s="2">
        <v>1120</v>
      </c>
      <c r="O10" s="1">
        <v>0.4</v>
      </c>
      <c r="Q10" s="2">
        <v>8</v>
      </c>
    </row>
    <row r="11" spans="1:18" x14ac:dyDescent="0.2">
      <c r="A11" s="16" t="s">
        <v>16</v>
      </c>
      <c r="B11" s="11"/>
      <c r="C11" s="11"/>
      <c r="D11" s="11"/>
      <c r="E11" s="11"/>
      <c r="F11" s="11"/>
      <c r="G11" s="11"/>
      <c r="H11" s="11"/>
      <c r="I11" s="3">
        <v>27</v>
      </c>
      <c r="J11" s="1">
        <v>1029</v>
      </c>
      <c r="K11" s="2">
        <v>8.5</v>
      </c>
      <c r="L11" s="3">
        <v>14</v>
      </c>
      <c r="M11" s="2">
        <v>390</v>
      </c>
      <c r="N11" s="2">
        <v>1130</v>
      </c>
      <c r="Q11" s="2">
        <v>9</v>
      </c>
    </row>
    <row r="12" spans="1:18" x14ac:dyDescent="0.2">
      <c r="A12" s="12" t="s">
        <v>17</v>
      </c>
      <c r="B12" s="11"/>
      <c r="C12" s="11"/>
      <c r="D12" s="11"/>
      <c r="E12" s="11"/>
      <c r="F12" s="11"/>
      <c r="G12" s="11"/>
      <c r="H12" s="11"/>
      <c r="I12" s="3">
        <v>27.5</v>
      </c>
      <c r="K12" s="2">
        <v>8.6</v>
      </c>
      <c r="L12" s="3">
        <v>15</v>
      </c>
      <c r="M12" s="3">
        <v>400</v>
      </c>
      <c r="N12" s="2">
        <v>1140</v>
      </c>
      <c r="Q12" s="1">
        <v>10</v>
      </c>
    </row>
    <row r="13" spans="1:18" x14ac:dyDescent="0.2">
      <c r="A13" s="11"/>
      <c r="B13" s="11"/>
      <c r="C13" s="11"/>
      <c r="D13" s="11"/>
      <c r="E13" s="11"/>
      <c r="F13" s="11"/>
      <c r="G13" s="11"/>
      <c r="H13" s="11"/>
      <c r="I13" s="1">
        <v>28</v>
      </c>
      <c r="K13" s="1">
        <v>8.6999999999999993</v>
      </c>
      <c r="L13" s="3">
        <v>16</v>
      </c>
      <c r="M13" s="3">
        <v>410</v>
      </c>
      <c r="N13" s="2">
        <v>1150</v>
      </c>
    </row>
    <row r="14" spans="1:18" x14ac:dyDescent="0.2">
      <c r="A14" s="16" t="s">
        <v>18</v>
      </c>
      <c r="B14" s="11"/>
      <c r="C14" s="11"/>
      <c r="D14" s="11"/>
      <c r="E14" s="11"/>
      <c r="F14" s="11"/>
      <c r="G14" s="11"/>
      <c r="H14" s="11"/>
      <c r="L14" s="3">
        <v>17</v>
      </c>
      <c r="M14" s="3">
        <v>420</v>
      </c>
      <c r="N14" s="2">
        <v>1160</v>
      </c>
    </row>
    <row r="15" spans="1:18" x14ac:dyDescent="0.2">
      <c r="A15" s="12" t="s">
        <v>19</v>
      </c>
      <c r="B15" s="11"/>
      <c r="C15" s="11"/>
      <c r="D15" s="11"/>
      <c r="E15" s="11"/>
      <c r="F15" s="11"/>
      <c r="G15" s="11"/>
      <c r="H15" s="11"/>
      <c r="L15" s="2">
        <v>18</v>
      </c>
      <c r="M15" s="19">
        <v>430</v>
      </c>
      <c r="N15" s="2">
        <v>1170</v>
      </c>
    </row>
    <row r="16" spans="1:18" x14ac:dyDescent="0.2">
      <c r="A16" s="11"/>
      <c r="B16" s="11"/>
      <c r="C16" s="11"/>
      <c r="D16" s="11"/>
      <c r="E16" s="11"/>
      <c r="F16" s="11"/>
      <c r="G16" s="11"/>
      <c r="H16" s="11"/>
      <c r="L16" s="2">
        <v>19</v>
      </c>
      <c r="M16" s="3">
        <v>440</v>
      </c>
      <c r="N16" s="2">
        <v>1180</v>
      </c>
    </row>
    <row r="17" spans="1:14" x14ac:dyDescent="0.2">
      <c r="A17" s="16" t="s">
        <v>20</v>
      </c>
      <c r="B17" s="11"/>
      <c r="C17" s="11"/>
      <c r="D17" s="11"/>
      <c r="E17" s="11"/>
      <c r="F17" s="11"/>
      <c r="G17" s="11"/>
      <c r="H17" s="11"/>
      <c r="L17" s="1">
        <v>20</v>
      </c>
      <c r="M17" s="3">
        <v>450</v>
      </c>
      <c r="N17" s="2">
        <v>1190</v>
      </c>
    </row>
    <row r="18" spans="1:14" x14ac:dyDescent="0.2">
      <c r="A18" s="12" t="s">
        <v>21</v>
      </c>
      <c r="B18" s="11"/>
      <c r="C18" s="11"/>
      <c r="D18" s="11"/>
      <c r="E18" s="11"/>
      <c r="F18" s="11"/>
      <c r="G18" s="11"/>
      <c r="H18" s="11"/>
      <c r="M18" s="2">
        <v>460</v>
      </c>
      <c r="N18" s="2">
        <v>1200</v>
      </c>
    </row>
    <row r="19" spans="1:14" x14ac:dyDescent="0.2">
      <c r="M19" s="2">
        <v>470</v>
      </c>
      <c r="N19" s="2">
        <v>1210</v>
      </c>
    </row>
    <row r="20" spans="1:14" x14ac:dyDescent="0.2">
      <c r="A20" s="16" t="s">
        <v>22</v>
      </c>
      <c r="M20" s="1">
        <v>480</v>
      </c>
      <c r="N20" s="2">
        <v>1220</v>
      </c>
    </row>
    <row r="21" spans="1:14" x14ac:dyDescent="0.2">
      <c r="A21" s="12" t="s">
        <v>23</v>
      </c>
      <c r="N21" s="2">
        <v>1230</v>
      </c>
    </row>
    <row r="22" spans="1:14" x14ac:dyDescent="0.2">
      <c r="N22" s="2">
        <v>1240</v>
      </c>
    </row>
    <row r="23" spans="1:14" x14ac:dyDescent="0.2">
      <c r="A23" s="16" t="s">
        <v>25</v>
      </c>
      <c r="N23" s="2">
        <v>1250</v>
      </c>
    </row>
    <row r="24" spans="1:14" x14ac:dyDescent="0.2">
      <c r="A24" s="12" t="s">
        <v>24</v>
      </c>
      <c r="N24" s="3">
        <v>1260</v>
      </c>
    </row>
    <row r="25" spans="1:14" x14ac:dyDescent="0.2">
      <c r="N25" s="3">
        <v>1270</v>
      </c>
    </row>
    <row r="26" spans="1:14" x14ac:dyDescent="0.2">
      <c r="A26" s="16" t="s">
        <v>27</v>
      </c>
      <c r="N26" s="3">
        <v>1280</v>
      </c>
    </row>
    <row r="27" spans="1:14" x14ac:dyDescent="0.2">
      <c r="A27" s="12" t="s">
        <v>26</v>
      </c>
      <c r="N27" s="3">
        <v>1290</v>
      </c>
    </row>
    <row r="28" spans="1:14" x14ac:dyDescent="0.2">
      <c r="N28" s="3">
        <v>1300</v>
      </c>
    </row>
    <row r="29" spans="1:14" x14ac:dyDescent="0.2">
      <c r="N29" s="3">
        <v>1310</v>
      </c>
    </row>
    <row r="30" spans="1:14" x14ac:dyDescent="0.2">
      <c r="N30" s="3">
        <v>1320</v>
      </c>
    </row>
    <row r="31" spans="1:14" x14ac:dyDescent="0.2">
      <c r="N31" s="3">
        <v>1330</v>
      </c>
    </row>
    <row r="32" spans="1:14" x14ac:dyDescent="0.2">
      <c r="N32" s="3">
        <v>1340</v>
      </c>
    </row>
    <row r="33" spans="7:14" x14ac:dyDescent="0.2">
      <c r="N33" s="3">
        <v>1350</v>
      </c>
    </row>
    <row r="34" spans="7:14" x14ac:dyDescent="0.2">
      <c r="N34" s="3">
        <v>1360</v>
      </c>
    </row>
    <row r="35" spans="7:14" x14ac:dyDescent="0.2">
      <c r="G35" t="s">
        <v>28</v>
      </c>
      <c r="N35" s="3">
        <v>1370</v>
      </c>
    </row>
    <row r="36" spans="7:14" x14ac:dyDescent="0.2">
      <c r="N36" s="3">
        <v>1380</v>
      </c>
    </row>
    <row r="37" spans="7:14" x14ac:dyDescent="0.2">
      <c r="N37" s="3">
        <v>1390</v>
      </c>
    </row>
    <row r="38" spans="7:14" x14ac:dyDescent="0.2">
      <c r="N38" s="3">
        <v>1400</v>
      </c>
    </row>
    <row r="39" spans="7:14" x14ac:dyDescent="0.2">
      <c r="N39" s="3">
        <v>1410</v>
      </c>
    </row>
    <row r="40" spans="7:14" x14ac:dyDescent="0.2">
      <c r="N40" s="2">
        <v>1420</v>
      </c>
    </row>
    <row r="41" spans="7:14" x14ac:dyDescent="0.2">
      <c r="N41" s="2">
        <v>1430</v>
      </c>
    </row>
    <row r="42" spans="7:14" x14ac:dyDescent="0.2">
      <c r="N42" s="2">
        <v>1440</v>
      </c>
    </row>
    <row r="43" spans="7:14" x14ac:dyDescent="0.2">
      <c r="N43" s="2">
        <v>1450</v>
      </c>
    </row>
    <row r="44" spans="7:14" x14ac:dyDescent="0.2">
      <c r="N44" s="2">
        <v>1460</v>
      </c>
    </row>
    <row r="45" spans="7:14" x14ac:dyDescent="0.2">
      <c r="N45" s="2">
        <v>1470</v>
      </c>
    </row>
    <row r="46" spans="7:14" x14ac:dyDescent="0.2">
      <c r="N46" s="2">
        <v>1480</v>
      </c>
    </row>
    <row r="47" spans="7:14" x14ac:dyDescent="0.2">
      <c r="N47" s="2">
        <v>1490</v>
      </c>
    </row>
    <row r="48" spans="7:14" x14ac:dyDescent="0.2">
      <c r="N48" s="2">
        <v>1500</v>
      </c>
    </row>
    <row r="49" spans="14:14" x14ac:dyDescent="0.2">
      <c r="N49" s="2">
        <v>1510</v>
      </c>
    </row>
    <row r="50" spans="14:14" x14ac:dyDescent="0.2">
      <c r="N50" s="2">
        <v>1520</v>
      </c>
    </row>
    <row r="51" spans="14:14" x14ac:dyDescent="0.2">
      <c r="N51" s="2">
        <v>1530</v>
      </c>
    </row>
    <row r="52" spans="14:14" x14ac:dyDescent="0.2">
      <c r="N52" s="2">
        <v>1540</v>
      </c>
    </row>
    <row r="53" spans="14:14" x14ac:dyDescent="0.2">
      <c r="N53" s="2">
        <v>1550</v>
      </c>
    </row>
    <row r="54" spans="14:14" x14ac:dyDescent="0.2">
      <c r="N54" s="2">
        <v>1560</v>
      </c>
    </row>
    <row r="55" spans="14:14" x14ac:dyDescent="0.2">
      <c r="N55" s="2">
        <v>1570</v>
      </c>
    </row>
    <row r="56" spans="14:14" x14ac:dyDescent="0.2">
      <c r="N56" s="2">
        <v>1580</v>
      </c>
    </row>
    <row r="57" spans="14:14" x14ac:dyDescent="0.2">
      <c r="N57" s="2">
        <v>1590</v>
      </c>
    </row>
    <row r="58" spans="14:14" x14ac:dyDescent="0.2">
      <c r="N58" s="1">
        <v>1600</v>
      </c>
    </row>
  </sheetData>
  <mergeCells count="1">
    <mergeCell ref="A1:H6"/>
  </mergeCells>
  <hyperlinks>
    <hyperlink ref="A12" r:id="rId1" xr:uid="{DD2F25E4-CE5E-F34B-8CC9-2FEA9FE3F85F}"/>
    <hyperlink ref="A15" r:id="rId2" xr:uid="{7411FC8F-5847-0946-A76B-13074E5D0386}"/>
    <hyperlink ref="A18" r:id="rId3" xr:uid="{E46EFFCA-5010-6E4F-B3A9-28DF94C1F716}"/>
    <hyperlink ref="A21" r:id="rId4" xr:uid="{444A16C4-315A-4947-8F06-A6453B626DB9}"/>
    <hyperlink ref="A24" r:id="rId5" xr:uid="{A24FDF0D-78EB-064E-9A68-3F3CC1A0A613}"/>
    <hyperlink ref="A27" r:id="rId6" xr:uid="{463347E7-069E-ED4A-AE40-DF9FC17E0C27}"/>
  </hyperlinks>
  <pageMargins left="0.7" right="0.7" top="0.75" bottom="0.75" header="0.3" footer="0.3"/>
  <pageSetup paperSize="9"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Monitor 2025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Dijkstra</dc:creator>
  <cp:lastModifiedBy>Edi Prifti</cp:lastModifiedBy>
  <dcterms:created xsi:type="dcterms:W3CDTF">2008-03-18T13:46:56Z</dcterms:created>
  <dcterms:modified xsi:type="dcterms:W3CDTF">2026-02-07T15:23:02Z</dcterms:modified>
</cp:coreProperties>
</file>